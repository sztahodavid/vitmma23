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me\oktatás\Emotion_recognition-main\"/>
    </mc:Choice>
  </mc:AlternateContent>
  <xr:revisionPtr revIDLastSave="0" documentId="13_ncr:1_{57A4E9D9-9A5D-4BD0-8861-623F2FA8BEA3}" xr6:coauthVersionLast="47" xr6:coauthVersionMax="47" xr10:uidLastSave="{00000000-0000-0000-0000-000000000000}"/>
  <bookViews>
    <workbookView xWindow="-120" yWindow="-120" windowWidth="29040" windowHeight="15840" activeTab="1" xr2:uid="{3C1B4D09-F3C1-41AD-8133-CB8C2C9EE4A9}"/>
  </bookViews>
  <sheets>
    <sheet name="Sample" sheetId="1" r:id="rId1"/>
    <sheet name="Arousal 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B4" i="2"/>
  <c r="B5" i="2"/>
  <c r="B6" i="2"/>
  <c r="B7" i="2"/>
  <c r="B3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Q35" i="2"/>
  <c r="J35" i="1"/>
  <c r="J32" i="1"/>
  <c r="J31" i="1"/>
  <c r="C33" i="1"/>
  <c r="D33" i="1"/>
  <c r="E33" i="1"/>
  <c r="F33" i="1"/>
  <c r="B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J31" i="2" l="1"/>
  <c r="J7" i="2"/>
  <c r="J15" i="2"/>
  <c r="J23" i="2"/>
  <c r="J32" i="2"/>
  <c r="J16" i="2"/>
  <c r="Q20" i="2"/>
  <c r="J24" i="2"/>
  <c r="J6" i="2"/>
  <c r="J8" i="2"/>
  <c r="Q18" i="2"/>
  <c r="J14" i="2"/>
  <c r="Q12" i="2"/>
  <c r="J30" i="2"/>
  <c r="Q28" i="2"/>
  <c r="Q10" i="2"/>
  <c r="J22" i="2"/>
  <c r="Q29" i="2"/>
  <c r="Q27" i="2"/>
  <c r="Q25" i="2"/>
  <c r="Q21" i="2"/>
  <c r="Q24" i="2"/>
  <c r="Q31" i="2"/>
  <c r="Q19" i="2"/>
  <c r="Q11" i="2"/>
  <c r="J29" i="2"/>
  <c r="J21" i="2"/>
  <c r="Q16" i="2"/>
  <c r="J20" i="2"/>
  <c r="J27" i="2"/>
  <c r="J19" i="2"/>
  <c r="J11" i="2"/>
  <c r="Q32" i="2"/>
  <c r="Q23" i="2"/>
  <c r="Q17" i="2"/>
  <c r="Q9" i="2"/>
  <c r="L3" i="2"/>
  <c r="J5" i="2"/>
  <c r="J4" i="2"/>
  <c r="J26" i="2"/>
  <c r="J18" i="2"/>
  <c r="J10" i="2"/>
  <c r="Q8" i="2"/>
  <c r="Q13" i="2"/>
  <c r="Q5" i="2"/>
  <c r="J13" i="2"/>
  <c r="J28" i="2"/>
  <c r="J12" i="2"/>
  <c r="Q3" i="2"/>
  <c r="J25" i="2"/>
  <c r="J17" i="2"/>
  <c r="J9" i="2"/>
  <c r="Q26" i="2"/>
  <c r="Q4" i="2"/>
  <c r="Q15" i="2"/>
  <c r="Q7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Q22" i="2"/>
  <c r="Q14" i="2"/>
  <c r="Q6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J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K3" i="2"/>
  <c r="P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Q30" i="2"/>
  <c r="M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O3" i="2"/>
  <c r="N3" i="2"/>
  <c r="T16" i="2" l="1" a="1"/>
  <c r="T16" i="2" l="1"/>
  <c r="AB17" i="2"/>
  <c r="AB25" i="2"/>
  <c r="AB33" i="2"/>
  <c r="AB41" i="2"/>
  <c r="AB18" i="2"/>
  <c r="AB26" i="2"/>
  <c r="AB34" i="2"/>
  <c r="AB42" i="2"/>
  <c r="AB19" i="2"/>
  <c r="AB27" i="2"/>
  <c r="AB35" i="2"/>
  <c r="AB43" i="2"/>
  <c r="AB32" i="2"/>
  <c r="AB20" i="2"/>
  <c r="AB28" i="2"/>
  <c r="AB36" i="2"/>
  <c r="AB44" i="2"/>
  <c r="AB21" i="2"/>
  <c r="AB29" i="2"/>
  <c r="AB37" i="2"/>
  <c r="AB45" i="2"/>
  <c r="AB40" i="2"/>
  <c r="AB22" i="2"/>
  <c r="AB30" i="2"/>
  <c r="AB38" i="2"/>
  <c r="AB23" i="2"/>
  <c r="AB31" i="2"/>
  <c r="AB39" i="2"/>
  <c r="AB24" i="2"/>
  <c r="AB16" i="2" l="1"/>
  <c r="Q37" i="2" s="1"/>
  <c r="Q38" i="2" s="1"/>
  <c r="Q33" i="2" l="1"/>
  <c r="J33" i="2"/>
  <c r="K33" i="2"/>
  <c r="L33" i="2"/>
  <c r="M33" i="2"/>
  <c r="N33" i="2"/>
  <c r="O33" i="2"/>
  <c r="P33" i="2"/>
  <c r="AC16" i="2" a="1"/>
  <c r="AC16" i="2" s="1"/>
  <c r="AC37" i="2" a="1"/>
  <c r="AC37" i="2" s="1"/>
  <c r="AC27" i="2" a="1"/>
  <c r="AC27" i="2" s="1"/>
  <c r="AC17" i="2" a="1"/>
  <c r="AC17" i="2" s="1"/>
  <c r="AC38" i="2" a="1"/>
  <c r="AC38" i="2" s="1"/>
  <c r="AC44" i="2" a="1"/>
  <c r="AC44" i="2" s="1"/>
  <c r="AC24" i="2" a="1"/>
  <c r="AC24" i="2" s="1"/>
  <c r="AC26" i="2" a="1"/>
  <c r="AC26" i="2" s="1"/>
  <c r="AC35" i="2" a="1"/>
  <c r="AC35" i="2" s="1"/>
  <c r="AC33" i="2" a="1"/>
  <c r="AC33" i="2" s="1"/>
  <c r="AC29" i="2" a="1"/>
  <c r="AC29" i="2" s="1"/>
  <c r="AC39" i="2" a="1"/>
  <c r="AC39" i="2" s="1"/>
  <c r="AC34" i="2" a="1"/>
  <c r="AC34" i="2" s="1"/>
  <c r="AC25" i="2" a="1"/>
  <c r="AC25" i="2" s="1"/>
  <c r="AC31" i="2" a="1"/>
  <c r="AC31" i="2" s="1"/>
  <c r="AC21" i="2" a="1"/>
  <c r="AC21" i="2" s="1"/>
  <c r="AC40" i="2" a="1"/>
  <c r="AC40" i="2" s="1"/>
  <c r="AC20" i="2" a="1"/>
  <c r="AC20" i="2" s="1"/>
  <c r="AC41" i="2" a="1"/>
  <c r="AC41" i="2" s="1"/>
  <c r="AC28" i="2" a="1"/>
  <c r="AC28" i="2" s="1"/>
  <c r="AC43" i="2" a="1"/>
  <c r="AC43" i="2" s="1"/>
  <c r="AC32" i="2" a="1"/>
  <c r="AC32" i="2" s="1"/>
  <c r="AC36" i="2" a="1"/>
  <c r="AC36" i="2" s="1"/>
  <c r="AC22" i="2" a="1"/>
  <c r="AC22" i="2" s="1"/>
  <c r="AC30" i="2" a="1"/>
  <c r="AC30" i="2" s="1"/>
  <c r="AC18" i="2" a="1"/>
  <c r="AC18" i="2" s="1"/>
  <c r="AC19" i="2" a="1"/>
  <c r="AC19" i="2" s="1"/>
  <c r="AC23" i="2" a="1"/>
  <c r="AC23" i="2" s="1"/>
  <c r="AC42" i="2" a="1"/>
  <c r="AC42" i="2" s="1"/>
  <c r="AC45" i="2" a="1"/>
  <c r="AC45" i="2" s="1"/>
  <c r="Q40" i="2" l="1" a="1"/>
  <c r="Q40" i="2" s="1"/>
  <c r="Q39" i="2"/>
  <c r="Q4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<sst xmlns="http://schemas.openxmlformats.org/spreadsheetml/2006/main" count="35" uniqueCount="32">
  <si>
    <t xml:space="preserve">ID </t>
  </si>
  <si>
    <t>Question 1</t>
  </si>
  <si>
    <t>Question 2</t>
  </si>
  <si>
    <t>Question 3</t>
  </si>
  <si>
    <t>Question 4</t>
  </si>
  <si>
    <t>Question 5</t>
  </si>
  <si>
    <t>Total Score</t>
  </si>
  <si>
    <t>Variances:</t>
  </si>
  <si>
    <t>Variance for total scores:</t>
  </si>
  <si>
    <t>Sum of variances:</t>
  </si>
  <si>
    <r>
      <rPr>
        <sz val="12"/>
        <color theme="1"/>
        <rFont val="Calibri"/>
        <family val="2"/>
        <charset val="238"/>
      </rPr>
      <t>α</t>
    </r>
    <r>
      <rPr>
        <sz val="12"/>
        <color theme="1"/>
        <rFont val="Calibri Light"/>
        <family val="2"/>
        <charset val="238"/>
      </rPr>
      <t>=</t>
    </r>
  </si>
  <si>
    <t>Listener 1</t>
  </si>
  <si>
    <t>Listener 2</t>
  </si>
  <si>
    <t>Listener 3</t>
  </si>
  <si>
    <t>Listener 4</t>
  </si>
  <si>
    <t>Listener 5</t>
  </si>
  <si>
    <t>Rating table</t>
  </si>
  <si>
    <t>Agreement table</t>
  </si>
  <si>
    <t>ID  / rating</t>
  </si>
  <si>
    <t>Weights</t>
  </si>
  <si>
    <t>Weighted Agreement table</t>
  </si>
  <si>
    <t>pi</t>
  </si>
  <si>
    <t>r-mean</t>
  </si>
  <si>
    <t>r</t>
  </si>
  <si>
    <t>n</t>
  </si>
  <si>
    <t>q</t>
  </si>
  <si>
    <t>epsilon</t>
  </si>
  <si>
    <t>pa</t>
  </si>
  <si>
    <t>pe</t>
  </si>
  <si>
    <t>kalpha</t>
  </si>
  <si>
    <t>π</t>
  </si>
  <si>
    <r>
      <rPr>
        <sz val="12"/>
        <color theme="1"/>
        <rFont val="Calibri"/>
        <family val="2"/>
        <charset val="238"/>
      </rPr>
      <t>π</t>
    </r>
    <r>
      <rPr>
        <sz val="12"/>
        <color theme="1"/>
        <rFont val="Calibri Light"/>
        <family val="2"/>
        <charset val="238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</si>
</sst>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 Light"/>
      <family val="2"/>
      <charset val="238"/>
      <scheme val="major"/>
    </font>
    <font>
      <sz val="12"/>
      <color theme="1"/>
      <name val="Calibri Light"/>
      <family val="2"/>
      <charset val="238"/>
      <scheme val="major"/>
    </font>
    <font>
      <sz val="12"/>
      <color theme="1"/>
      <name val="Calibri"/>
      <family val="2"/>
      <charset val="238"/>
    </font>
    <font>
      <sz val="12"/>
      <color theme="1"/>
      <name val="Calibri Light"/>
      <family val="2"/>
      <charset val="238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485775</xdr:colOff>
      <xdr:row>31</xdr:row>
      <xdr:rowOff>171450</xdr:rowOff>
    </xdr:from>
    <xdr:to>
      <xdr:col>17</xdr:col>
      <xdr:colOff>533401</xdr:colOff>
      <xdr:row>36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13671-9573-7B3A-118C-9B1622AFF8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" t="27105" r="7157" b="33130"/>
        <a:stretch/>
      </xdr:blipFill>
      <xdr:spPr bwMode="auto">
        <a:xfrm>
          <a:off x="10201275" y="6372225"/>
          <a:ext cx="4314826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34</xdr:row>
      <xdr:rowOff>123826</xdr:rowOff>
    </xdr:from>
    <xdr:to>
      <xdr:col>9</xdr:col>
      <xdr:colOff>495300</xdr:colOff>
      <xdr:row>37</xdr:row>
      <xdr:rowOff>97571</xdr:rowOff>
    </xdr:to>
    <xdr:pic>
      <xdr:nvPicPr>
        <xdr:cNvPr id="3" name="Picture 2" descr="Krippendorff's Alpha">
          <a:extLst>
            <a:ext uri="{FF2B5EF4-FFF2-40B4-BE49-F238E27FC236}">
              <a16:creationId xmlns:a16="http://schemas.microsoft.com/office/drawing/2014/main" id="{2F49A551-EA29-8D06-CC02-444E0847D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6924676"/>
          <a:ext cx="1209675" cy="57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342900</xdr:colOff>
      <xdr:row>40</xdr:row>
      <xdr:rowOff>47625</xdr:rowOff>
    </xdr:from>
    <xdr:to>
      <xdr:col>14</xdr:col>
      <xdr:colOff>351925</xdr:colOff>
      <xdr:row>55</xdr:row>
      <xdr:rowOff>18679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ACE9E9-CAEB-42AA-1879-D4D65C7BF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0" y="8048625"/>
          <a:ext cx="4000000" cy="2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DF40-C842-464F-96E9-FBD553BB8DBE}">
  <dimension ref="A1:M35"/>
  <sheetViews>
    <sheetView workbookViewId="0">
      <selection sqref="A1:XFD1048576"/>
    </sheetView>
  </sheetViews>
  <sheetFormatPr defaultRowHeight="15.75" x14ac:dyDescent="0.25"/>
  <cols>
    <col min="1" max="1" width="10.140625" style="2" bestFit="1" customWidth="1"/>
    <col min="2" max="6" width="15" style="2" bestFit="1" customWidth="1"/>
    <col min="7" max="7" width="13.85546875" style="2" customWidth="1"/>
    <col min="8" max="8" width="9.140625" style="2"/>
    <col min="9" max="9" width="28.42578125" style="2" customWidth="1"/>
    <col min="10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f>SUM(B2:F2)</f>
        <v>25</v>
      </c>
    </row>
    <row r="3" spans="1:7" x14ac:dyDescent="0.25">
      <c r="A3" s="2">
        <v>2</v>
      </c>
      <c r="B3" s="2">
        <v>4</v>
      </c>
      <c r="C3" s="2">
        <v>4</v>
      </c>
      <c r="D3" s="2">
        <v>5</v>
      </c>
      <c r="E3" s="2">
        <v>4</v>
      </c>
      <c r="F3" s="2">
        <v>5</v>
      </c>
      <c r="G3" s="2">
        <f t="shared" ref="G3:G31" si="0">SUM(B3:F3)</f>
        <v>22</v>
      </c>
    </row>
    <row r="4" spans="1:7" x14ac:dyDescent="0.25">
      <c r="A4" s="2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f t="shared" si="0"/>
        <v>25</v>
      </c>
    </row>
    <row r="5" spans="1:7" x14ac:dyDescent="0.25">
      <c r="A5" s="2">
        <v>4</v>
      </c>
      <c r="B5" s="2">
        <v>4</v>
      </c>
      <c r="C5" s="2">
        <v>4</v>
      </c>
      <c r="D5" s="2">
        <v>4</v>
      </c>
      <c r="E5" s="2">
        <v>5</v>
      </c>
      <c r="F5" s="2">
        <v>5</v>
      </c>
      <c r="G5" s="2">
        <f t="shared" si="0"/>
        <v>22</v>
      </c>
    </row>
    <row r="6" spans="1:7" x14ac:dyDescent="0.25">
      <c r="A6" s="2">
        <v>5</v>
      </c>
      <c r="B6" s="2">
        <v>4</v>
      </c>
      <c r="C6" s="2">
        <v>4</v>
      </c>
      <c r="D6" s="2">
        <v>5</v>
      </c>
      <c r="E6" s="2">
        <v>5</v>
      </c>
      <c r="F6" s="2">
        <v>5</v>
      </c>
      <c r="G6" s="2">
        <f t="shared" si="0"/>
        <v>23</v>
      </c>
    </row>
    <row r="7" spans="1:7" x14ac:dyDescent="0.25">
      <c r="A7" s="2">
        <v>6</v>
      </c>
      <c r="B7" s="2">
        <v>4</v>
      </c>
      <c r="C7" s="2">
        <v>4</v>
      </c>
      <c r="D7" s="2">
        <v>5</v>
      </c>
      <c r="E7" s="2">
        <v>5</v>
      </c>
      <c r="F7" s="2">
        <v>5</v>
      </c>
      <c r="G7" s="2">
        <f t="shared" si="0"/>
        <v>23</v>
      </c>
    </row>
    <row r="8" spans="1:7" x14ac:dyDescent="0.25">
      <c r="A8" s="2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f t="shared" si="0"/>
        <v>25</v>
      </c>
    </row>
    <row r="9" spans="1:7" x14ac:dyDescent="0.25">
      <c r="A9" s="2">
        <v>8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f t="shared" si="0"/>
        <v>20</v>
      </c>
    </row>
    <row r="10" spans="1:7" x14ac:dyDescent="0.25">
      <c r="A10" s="2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f t="shared" si="0"/>
        <v>25</v>
      </c>
    </row>
    <row r="11" spans="1:7" x14ac:dyDescent="0.25">
      <c r="A11" s="2">
        <v>10</v>
      </c>
      <c r="B11" s="2">
        <v>4</v>
      </c>
      <c r="C11" s="2">
        <v>5</v>
      </c>
      <c r="D11" s="2">
        <v>5</v>
      </c>
      <c r="E11" s="2">
        <v>4</v>
      </c>
      <c r="F11" s="2">
        <v>4</v>
      </c>
      <c r="G11" s="2">
        <f t="shared" si="0"/>
        <v>22</v>
      </c>
    </row>
    <row r="12" spans="1:7" x14ac:dyDescent="0.25">
      <c r="A12" s="2">
        <v>11</v>
      </c>
      <c r="B12" s="2">
        <v>5</v>
      </c>
      <c r="C12" s="2">
        <v>5</v>
      </c>
      <c r="D12" s="2">
        <v>5</v>
      </c>
      <c r="E12" s="2">
        <v>4</v>
      </c>
      <c r="F12" s="2">
        <v>4</v>
      </c>
      <c r="G12" s="2">
        <f t="shared" si="0"/>
        <v>23</v>
      </c>
    </row>
    <row r="13" spans="1:7" x14ac:dyDescent="0.25">
      <c r="A13" s="2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f t="shared" si="0"/>
        <v>25</v>
      </c>
    </row>
    <row r="14" spans="1:7" x14ac:dyDescent="0.25">
      <c r="A14" s="2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f t="shared" si="0"/>
        <v>25</v>
      </c>
    </row>
    <row r="15" spans="1:7" x14ac:dyDescent="0.25">
      <c r="A15" s="2">
        <v>14</v>
      </c>
      <c r="B15" s="2">
        <v>5</v>
      </c>
      <c r="C15" s="2">
        <v>5</v>
      </c>
      <c r="D15" s="2">
        <v>5</v>
      </c>
      <c r="E15" s="2">
        <v>4</v>
      </c>
      <c r="F15" s="2">
        <v>5</v>
      </c>
      <c r="G15" s="2">
        <f t="shared" si="0"/>
        <v>24</v>
      </c>
    </row>
    <row r="16" spans="1:7" x14ac:dyDescent="0.25">
      <c r="A16" s="2">
        <v>15</v>
      </c>
      <c r="B16" s="2">
        <v>4</v>
      </c>
      <c r="C16" s="2">
        <v>4</v>
      </c>
      <c r="D16" s="2">
        <v>4</v>
      </c>
      <c r="E16" s="2">
        <v>4</v>
      </c>
      <c r="F16" s="2">
        <v>4</v>
      </c>
      <c r="G16" s="2">
        <f t="shared" si="0"/>
        <v>20</v>
      </c>
    </row>
    <row r="17" spans="1:13" x14ac:dyDescent="0.25">
      <c r="A17" s="2">
        <v>16</v>
      </c>
      <c r="B17" s="2">
        <v>5</v>
      </c>
      <c r="C17" s="2">
        <v>4</v>
      </c>
      <c r="D17" s="2">
        <v>4</v>
      </c>
      <c r="E17" s="2">
        <v>4</v>
      </c>
      <c r="F17" s="2">
        <v>4</v>
      </c>
      <c r="G17" s="2">
        <f t="shared" si="0"/>
        <v>21</v>
      </c>
    </row>
    <row r="18" spans="1:13" x14ac:dyDescent="0.25">
      <c r="A18" s="2">
        <v>17</v>
      </c>
      <c r="B18" s="2">
        <v>3</v>
      </c>
      <c r="C18" s="2">
        <v>4</v>
      </c>
      <c r="D18" s="2">
        <v>5</v>
      </c>
      <c r="E18" s="2">
        <v>4</v>
      </c>
      <c r="F18" s="2">
        <v>3</v>
      </c>
      <c r="G18" s="2">
        <f t="shared" si="0"/>
        <v>19</v>
      </c>
    </row>
    <row r="19" spans="1:13" x14ac:dyDescent="0.25">
      <c r="A19" s="2">
        <v>18</v>
      </c>
      <c r="B19" s="2">
        <v>4</v>
      </c>
      <c r="C19" s="2">
        <v>3</v>
      </c>
      <c r="D19" s="2">
        <v>3</v>
      </c>
      <c r="E19" s="2">
        <v>3</v>
      </c>
      <c r="F19" s="2">
        <v>3</v>
      </c>
      <c r="G19" s="2">
        <f t="shared" si="0"/>
        <v>16</v>
      </c>
    </row>
    <row r="20" spans="1:13" x14ac:dyDescent="0.25">
      <c r="A20" s="2">
        <v>19</v>
      </c>
      <c r="B20" s="2">
        <v>4</v>
      </c>
      <c r="C20" s="2">
        <v>4</v>
      </c>
      <c r="D20" s="2">
        <v>3</v>
      </c>
      <c r="E20" s="2">
        <v>5</v>
      </c>
      <c r="F20" s="2">
        <v>5</v>
      </c>
      <c r="G20" s="2">
        <f t="shared" si="0"/>
        <v>21</v>
      </c>
    </row>
    <row r="21" spans="1:13" x14ac:dyDescent="0.25">
      <c r="A21" s="2">
        <v>20</v>
      </c>
      <c r="B21" s="2">
        <v>5</v>
      </c>
      <c r="C21" s="2">
        <v>5</v>
      </c>
      <c r="D21" s="2">
        <v>4</v>
      </c>
      <c r="E21" s="2">
        <v>5</v>
      </c>
      <c r="F21" s="2">
        <v>5</v>
      </c>
      <c r="G21" s="2">
        <f t="shared" si="0"/>
        <v>24</v>
      </c>
    </row>
    <row r="22" spans="1:13" x14ac:dyDescent="0.25">
      <c r="A22" s="2">
        <v>21</v>
      </c>
      <c r="B22" s="2">
        <v>5</v>
      </c>
      <c r="C22" s="2">
        <v>5</v>
      </c>
      <c r="D22" s="2">
        <v>4</v>
      </c>
      <c r="E22" s="2">
        <v>3</v>
      </c>
      <c r="F22" s="2">
        <v>4</v>
      </c>
      <c r="G22" s="2">
        <f t="shared" si="0"/>
        <v>21</v>
      </c>
    </row>
    <row r="23" spans="1:13" x14ac:dyDescent="0.25">
      <c r="A23" s="2">
        <v>22</v>
      </c>
      <c r="B23" s="2">
        <v>3</v>
      </c>
      <c r="C23" s="2">
        <v>5</v>
      </c>
      <c r="D23" s="2">
        <v>5</v>
      </c>
      <c r="E23" s="2">
        <v>5</v>
      </c>
      <c r="F23" s="2">
        <v>4</v>
      </c>
      <c r="G23" s="2">
        <f t="shared" si="0"/>
        <v>22</v>
      </c>
    </row>
    <row r="24" spans="1:13" x14ac:dyDescent="0.25">
      <c r="A24" s="2">
        <v>23</v>
      </c>
      <c r="B24" s="2">
        <v>3</v>
      </c>
      <c r="C24" s="2">
        <v>4</v>
      </c>
      <c r="D24" s="2">
        <v>5</v>
      </c>
      <c r="E24" s="2">
        <v>5</v>
      </c>
      <c r="F24" s="2">
        <v>5</v>
      </c>
      <c r="G24" s="2">
        <f t="shared" si="0"/>
        <v>22</v>
      </c>
    </row>
    <row r="25" spans="1:13" x14ac:dyDescent="0.25">
      <c r="A25" s="2">
        <v>24</v>
      </c>
      <c r="B25" s="2">
        <v>3</v>
      </c>
      <c r="C25" s="2">
        <v>4</v>
      </c>
      <c r="D25" s="2">
        <v>5</v>
      </c>
      <c r="E25" s="2">
        <v>4</v>
      </c>
      <c r="F25" s="2">
        <v>5</v>
      </c>
      <c r="G25" s="2">
        <f t="shared" si="0"/>
        <v>21</v>
      </c>
    </row>
    <row r="26" spans="1:13" x14ac:dyDescent="0.25">
      <c r="A26" s="2">
        <v>25</v>
      </c>
      <c r="B26" s="2">
        <v>4</v>
      </c>
      <c r="C26" s="2">
        <v>5</v>
      </c>
      <c r="D26" s="2">
        <v>5</v>
      </c>
      <c r="E26" s="2">
        <v>4</v>
      </c>
      <c r="F26" s="2">
        <v>5</v>
      </c>
      <c r="G26" s="2">
        <f t="shared" si="0"/>
        <v>23</v>
      </c>
    </row>
    <row r="27" spans="1:13" x14ac:dyDescent="0.25">
      <c r="A27" s="2">
        <v>26</v>
      </c>
      <c r="B27" s="2">
        <v>5</v>
      </c>
      <c r="C27" s="2">
        <v>4</v>
      </c>
      <c r="D27" s="2">
        <v>4</v>
      </c>
      <c r="E27" s="2">
        <v>4</v>
      </c>
      <c r="F27" s="2">
        <v>4</v>
      </c>
      <c r="G27" s="2">
        <f t="shared" si="0"/>
        <v>21</v>
      </c>
    </row>
    <row r="28" spans="1:13" x14ac:dyDescent="0.25">
      <c r="A28" s="2">
        <v>27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f t="shared" si="0"/>
        <v>20</v>
      </c>
      <c r="M28"/>
    </row>
    <row r="29" spans="1:13" x14ac:dyDescent="0.25">
      <c r="A29" s="2">
        <v>28</v>
      </c>
      <c r="B29" s="2">
        <v>5</v>
      </c>
      <c r="C29" s="2">
        <v>4</v>
      </c>
      <c r="D29" s="2">
        <v>5</v>
      </c>
      <c r="E29" s="2">
        <v>5</v>
      </c>
      <c r="F29" s="2">
        <v>5</v>
      </c>
      <c r="G29" s="2">
        <f t="shared" si="0"/>
        <v>24</v>
      </c>
    </row>
    <row r="30" spans="1:13" x14ac:dyDescent="0.25">
      <c r="A30" s="2">
        <v>29</v>
      </c>
      <c r="B30" s="2">
        <v>4</v>
      </c>
      <c r="C30" s="2">
        <v>5</v>
      </c>
      <c r="D30" s="2">
        <v>5</v>
      </c>
      <c r="E30" s="2">
        <v>5</v>
      </c>
      <c r="F30" s="2">
        <v>5</v>
      </c>
      <c r="G30" s="2">
        <f t="shared" si="0"/>
        <v>24</v>
      </c>
    </row>
    <row r="31" spans="1:13" x14ac:dyDescent="0.25">
      <c r="A31" s="2">
        <v>30</v>
      </c>
      <c r="B31" s="2">
        <v>5</v>
      </c>
      <c r="C31" s="2">
        <v>5</v>
      </c>
      <c r="D31" s="2">
        <v>5</v>
      </c>
      <c r="E31" s="2">
        <v>5</v>
      </c>
      <c r="F31" s="2">
        <v>4</v>
      </c>
      <c r="G31" s="2">
        <f t="shared" si="0"/>
        <v>24</v>
      </c>
      <c r="I31" s="2" t="s">
        <v>8</v>
      </c>
      <c r="J31" s="2">
        <f>_xlfn.VAR.S(G2:G31)</f>
        <v>4.66206896551724</v>
      </c>
    </row>
    <row r="32" spans="1:13" x14ac:dyDescent="0.25">
      <c r="I32" s="2" t="s">
        <v>9</v>
      </c>
      <c r="J32" s="2">
        <f>SUM(B33:F33)</f>
        <v>2.0091954022988538</v>
      </c>
    </row>
    <row r="33" spans="1:10" x14ac:dyDescent="0.25">
      <c r="A33" s="2" t="s">
        <v>7</v>
      </c>
      <c r="B33" s="2">
        <f>_xlfn.VAR.S(B2:B31)</f>
        <v>0.50574712643678033</v>
      </c>
      <c r="C33" s="2">
        <f t="shared" ref="C33:F33" si="1">_xlfn.VAR.S(C2:C31)</f>
        <v>0.32643678160919642</v>
      </c>
      <c r="D33" s="2">
        <f t="shared" si="1"/>
        <v>0.38620689655172569</v>
      </c>
      <c r="E33" s="2">
        <f t="shared" si="1"/>
        <v>0.39540229885057576</v>
      </c>
      <c r="F33" s="2">
        <f t="shared" si="1"/>
        <v>0.39540229885057576</v>
      </c>
    </row>
    <row r="35" spans="1:10" x14ac:dyDescent="0.25">
      <c r="I35" s="3" t="s">
        <v>10</v>
      </c>
      <c r="J35" s="2">
        <f>(5/4)*((J31-J32)/J31)</f>
        <v>0.71129191321498908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B3EE-9BE3-4AED-BF8E-EC7BA7891610}">
  <dimension ref="A1:AC45"/>
  <sheetViews>
    <sheetView tabSelected="1" topLeftCell="A2" workbookViewId="0">
      <selection activeCell="G38" sqref="G38"/>
    </sheetView>
  </sheetViews>
  <sheetFormatPr defaultRowHeight="15.75" x14ac:dyDescent="0.25"/>
  <cols>
    <col min="1" max="1" width="10.140625" style="2" bestFit="1" customWidth="1"/>
    <col min="2" max="6" width="15" style="2" bestFit="1" customWidth="1"/>
    <col min="7" max="7" width="13.85546875" style="2" customWidth="1"/>
    <col min="8" max="8" width="9.140625" style="2"/>
    <col min="9" max="9" width="14.140625" style="2" customWidth="1"/>
    <col min="10" max="18" width="9.140625" style="2"/>
    <col min="19" max="19" width="13.140625" style="2" bestFit="1" customWidth="1"/>
    <col min="20" max="16384" width="9.140625" style="2"/>
  </cols>
  <sheetData>
    <row r="1" spans="1:29" x14ac:dyDescent="0.25">
      <c r="B1" s="4" t="s">
        <v>16</v>
      </c>
      <c r="C1" s="4"/>
      <c r="D1" s="4"/>
      <c r="E1" s="4"/>
      <c r="F1" s="4"/>
      <c r="G1" s="4"/>
      <c r="I1" s="4" t="s">
        <v>17</v>
      </c>
      <c r="J1" s="4"/>
      <c r="K1" s="4"/>
      <c r="L1" s="4"/>
      <c r="M1" s="4"/>
      <c r="N1" s="4"/>
      <c r="O1" s="4"/>
      <c r="P1" s="4"/>
      <c r="Q1" s="4"/>
      <c r="S1" s="4" t="s">
        <v>19</v>
      </c>
      <c r="T1" s="4"/>
      <c r="U1" s="4"/>
      <c r="V1" s="4"/>
      <c r="W1" s="4"/>
      <c r="X1" s="4"/>
      <c r="Y1" s="4"/>
      <c r="Z1" s="4"/>
      <c r="AA1" s="4"/>
    </row>
    <row r="2" spans="1:29" x14ac:dyDescent="0.25">
      <c r="A2" s="1" t="s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I2" s="1" t="s">
        <v>18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T2" s="2">
        <v>1</v>
      </c>
      <c r="U2" s="2">
        <v>2</v>
      </c>
      <c r="V2" s="2">
        <v>3</v>
      </c>
      <c r="W2" s="2">
        <v>4</v>
      </c>
      <c r="X2" s="2">
        <v>5</v>
      </c>
      <c r="Y2" s="2">
        <v>6</v>
      </c>
      <c r="Z2" s="2">
        <v>7</v>
      </c>
      <c r="AA2" s="2">
        <v>8</v>
      </c>
    </row>
    <row r="3" spans="1:29" x14ac:dyDescent="0.25">
      <c r="A3" s="2">
        <v>1</v>
      </c>
      <c r="B3" s="2">
        <f ca="1">INT(RAND()*1)+1</f>
        <v>1</v>
      </c>
      <c r="C3" s="2">
        <f t="shared" ref="C3:F3" ca="1" si="0">INT(RAND()*1)+1</f>
        <v>1</v>
      </c>
      <c r="D3" s="2">
        <f t="shared" ca="1" si="0"/>
        <v>1</v>
      </c>
      <c r="E3" s="2">
        <f t="shared" ca="1" si="0"/>
        <v>1</v>
      </c>
      <c r="F3" s="2">
        <f t="shared" ca="1" si="0"/>
        <v>1</v>
      </c>
      <c r="I3" s="2">
        <v>1</v>
      </c>
      <c r="J3" s="2">
        <f ca="1">COUNTIF($B3:$F3,_xlfn.CONCAT("=",J$2))</f>
        <v>5</v>
      </c>
      <c r="K3" s="2">
        <f t="shared" ref="K3:Q18" ca="1" si="1">COUNTIF($B3:$F3,_xlfn.CONCAT("=",K$2))</f>
        <v>0</v>
      </c>
      <c r="L3" s="2">
        <f t="shared" ca="1" si="1"/>
        <v>0</v>
      </c>
      <c r="M3" s="2">
        <f t="shared" ca="1" si="1"/>
        <v>0</v>
      </c>
      <c r="N3" s="2">
        <f t="shared" ca="1" si="1"/>
        <v>0</v>
      </c>
      <c r="O3" s="2">
        <f t="shared" ca="1" si="1"/>
        <v>0</v>
      </c>
      <c r="P3" s="2">
        <f t="shared" ca="1" si="1"/>
        <v>0</v>
      </c>
      <c r="Q3" s="2">
        <f t="shared" ca="1" si="1"/>
        <v>0</v>
      </c>
      <c r="S3" s="2">
        <v>1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9" x14ac:dyDescent="0.25">
      <c r="A4" s="2">
        <v>2</v>
      </c>
      <c r="B4" s="2">
        <f t="shared" ref="B4:F7" ca="1" si="2">INT(RAND()*1)+1</f>
        <v>1</v>
      </c>
      <c r="C4" s="2">
        <f t="shared" ca="1" si="2"/>
        <v>1</v>
      </c>
      <c r="D4" s="2">
        <f t="shared" ca="1" si="2"/>
        <v>1</v>
      </c>
      <c r="E4" s="2">
        <f t="shared" ca="1" si="2"/>
        <v>1</v>
      </c>
      <c r="F4" s="2">
        <f t="shared" ca="1" si="2"/>
        <v>1</v>
      </c>
      <c r="I4" s="2">
        <v>2</v>
      </c>
      <c r="J4" s="2">
        <f t="shared" ref="J4:Q32" ca="1" si="3">COUNTIF($B4:$F4,_xlfn.CONCAT("=",J$2))</f>
        <v>5</v>
      </c>
      <c r="K4" s="2">
        <f t="shared" ca="1" si="1"/>
        <v>0</v>
      </c>
      <c r="L4" s="2">
        <f t="shared" ca="1" si="1"/>
        <v>0</v>
      </c>
      <c r="M4" s="2">
        <f t="shared" ca="1" si="1"/>
        <v>0</v>
      </c>
      <c r="N4" s="2">
        <f t="shared" ca="1" si="1"/>
        <v>0</v>
      </c>
      <c r="O4" s="2">
        <f t="shared" ca="1" si="1"/>
        <v>0</v>
      </c>
      <c r="P4" s="2">
        <f t="shared" ca="1" si="1"/>
        <v>0</v>
      </c>
      <c r="Q4" s="2">
        <f t="shared" ca="1" si="1"/>
        <v>0</v>
      </c>
      <c r="S4" s="2">
        <v>2</v>
      </c>
      <c r="T4" s="2">
        <v>0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9" x14ac:dyDescent="0.25">
      <c r="A5" s="2">
        <v>3</v>
      </c>
      <c r="B5" s="2">
        <f t="shared" ca="1" si="2"/>
        <v>1</v>
      </c>
      <c r="C5" s="2">
        <f t="shared" ca="1" si="2"/>
        <v>1</v>
      </c>
      <c r="D5" s="2">
        <f t="shared" ca="1" si="2"/>
        <v>1</v>
      </c>
      <c r="E5" s="2">
        <f t="shared" ca="1" si="2"/>
        <v>1</v>
      </c>
      <c r="F5" s="2">
        <f t="shared" ca="1" si="2"/>
        <v>1</v>
      </c>
      <c r="I5" s="2">
        <v>3</v>
      </c>
      <c r="J5" s="2">
        <f t="shared" ca="1" si="3"/>
        <v>5</v>
      </c>
      <c r="K5" s="2">
        <f t="shared" ca="1" si="1"/>
        <v>0</v>
      </c>
      <c r="L5" s="2">
        <f t="shared" ca="1" si="1"/>
        <v>0</v>
      </c>
      <c r="M5" s="2">
        <f t="shared" ca="1" si="1"/>
        <v>0</v>
      </c>
      <c r="N5" s="2">
        <f t="shared" ca="1" si="1"/>
        <v>0</v>
      </c>
      <c r="O5" s="2">
        <f t="shared" ca="1" si="1"/>
        <v>0</v>
      </c>
      <c r="P5" s="2">
        <f t="shared" ca="1" si="1"/>
        <v>0</v>
      </c>
      <c r="Q5" s="2">
        <f t="shared" ca="1" si="1"/>
        <v>0</v>
      </c>
      <c r="S5" s="2">
        <v>3</v>
      </c>
      <c r="T5" s="2">
        <v>0</v>
      </c>
      <c r="U5" s="2">
        <v>0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9" x14ac:dyDescent="0.25">
      <c r="A6" s="2">
        <v>4</v>
      </c>
      <c r="B6" s="2">
        <f t="shared" ca="1" si="2"/>
        <v>1</v>
      </c>
      <c r="C6" s="2">
        <f t="shared" ca="1" si="2"/>
        <v>1</v>
      </c>
      <c r="D6" s="2">
        <f t="shared" ca="1" si="2"/>
        <v>1</v>
      </c>
      <c r="E6" s="2">
        <f t="shared" ca="1" si="2"/>
        <v>1</v>
      </c>
      <c r="F6" s="2">
        <f t="shared" ca="1" si="2"/>
        <v>1</v>
      </c>
      <c r="I6" s="2">
        <v>4</v>
      </c>
      <c r="J6" s="2">
        <f t="shared" ca="1" si="3"/>
        <v>5</v>
      </c>
      <c r="K6" s="2">
        <f t="shared" ca="1" si="1"/>
        <v>0</v>
      </c>
      <c r="L6" s="2">
        <f t="shared" ca="1" si="1"/>
        <v>0</v>
      </c>
      <c r="M6" s="2">
        <f t="shared" ca="1" si="1"/>
        <v>0</v>
      </c>
      <c r="N6" s="2">
        <f t="shared" ca="1" si="1"/>
        <v>0</v>
      </c>
      <c r="O6" s="2">
        <f t="shared" ca="1" si="1"/>
        <v>0</v>
      </c>
      <c r="P6" s="2">
        <f t="shared" ca="1" si="1"/>
        <v>0</v>
      </c>
      <c r="Q6" s="2">
        <f t="shared" ca="1" si="1"/>
        <v>0</v>
      </c>
      <c r="S6" s="2">
        <v>4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</row>
    <row r="7" spans="1:29" x14ac:dyDescent="0.25">
      <c r="A7" s="2">
        <v>5</v>
      </c>
      <c r="B7" s="2">
        <f t="shared" ca="1" si="2"/>
        <v>1</v>
      </c>
      <c r="C7" s="2">
        <f t="shared" ca="1" si="2"/>
        <v>1</v>
      </c>
      <c r="D7" s="2">
        <f t="shared" ca="1" si="2"/>
        <v>1</v>
      </c>
      <c r="E7" s="2">
        <f t="shared" ca="1" si="2"/>
        <v>1</v>
      </c>
      <c r="F7" s="2">
        <f t="shared" ca="1" si="2"/>
        <v>1</v>
      </c>
      <c r="I7" s="2">
        <v>5</v>
      </c>
      <c r="J7" s="2">
        <f t="shared" ca="1" si="3"/>
        <v>5</v>
      </c>
      <c r="K7" s="2">
        <f t="shared" ca="1" si="1"/>
        <v>0</v>
      </c>
      <c r="L7" s="2">
        <f t="shared" ca="1" si="1"/>
        <v>0</v>
      </c>
      <c r="M7" s="2">
        <f t="shared" ca="1" si="1"/>
        <v>0</v>
      </c>
      <c r="N7" s="2">
        <f t="shared" ca="1" si="1"/>
        <v>0</v>
      </c>
      <c r="O7" s="2">
        <f t="shared" ca="1" si="1"/>
        <v>0</v>
      </c>
      <c r="P7" s="2">
        <f t="shared" ca="1" si="1"/>
        <v>0</v>
      </c>
      <c r="Q7" s="2">
        <f t="shared" ca="1" si="1"/>
        <v>0</v>
      </c>
      <c r="S7" s="2">
        <v>5</v>
      </c>
      <c r="T7" s="2">
        <v>0</v>
      </c>
      <c r="U7" s="2">
        <v>0</v>
      </c>
      <c r="V7" s="2">
        <v>0</v>
      </c>
      <c r="W7" s="2">
        <v>0</v>
      </c>
      <c r="X7" s="2">
        <v>1</v>
      </c>
      <c r="Y7" s="2">
        <v>0</v>
      </c>
      <c r="Z7" s="2">
        <v>0</v>
      </c>
      <c r="AA7" s="2">
        <v>0</v>
      </c>
    </row>
    <row r="8" spans="1:29" x14ac:dyDescent="0.25">
      <c r="A8" s="2">
        <v>6</v>
      </c>
      <c r="B8" s="2">
        <f t="shared" ref="B4:F32" ca="1" si="4">INT(RAND()*8)+1</f>
        <v>1</v>
      </c>
      <c r="C8" s="2">
        <f t="shared" ca="1" si="4"/>
        <v>5</v>
      </c>
      <c r="D8" s="2">
        <f t="shared" ca="1" si="4"/>
        <v>2</v>
      </c>
      <c r="E8" s="2">
        <f t="shared" ca="1" si="4"/>
        <v>1</v>
      </c>
      <c r="F8" s="2">
        <f t="shared" ca="1" si="4"/>
        <v>6</v>
      </c>
      <c r="I8" s="2">
        <v>6</v>
      </c>
      <c r="J8" s="2">
        <f t="shared" ca="1" si="3"/>
        <v>2</v>
      </c>
      <c r="K8" s="2">
        <f t="shared" ca="1" si="1"/>
        <v>1</v>
      </c>
      <c r="L8" s="2">
        <f t="shared" ca="1" si="1"/>
        <v>0</v>
      </c>
      <c r="M8" s="2">
        <f t="shared" ca="1" si="1"/>
        <v>0</v>
      </c>
      <c r="N8" s="2">
        <f t="shared" ca="1" si="1"/>
        <v>1</v>
      </c>
      <c r="O8" s="2">
        <f t="shared" ca="1" si="1"/>
        <v>1</v>
      </c>
      <c r="P8" s="2">
        <f t="shared" ca="1" si="1"/>
        <v>0</v>
      </c>
      <c r="Q8" s="2">
        <f t="shared" ca="1" si="1"/>
        <v>0</v>
      </c>
      <c r="S8" s="2">
        <v>6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0</v>
      </c>
    </row>
    <row r="9" spans="1:29" x14ac:dyDescent="0.25">
      <c r="A9" s="2">
        <v>7</v>
      </c>
      <c r="B9" s="2">
        <f t="shared" ca="1" si="4"/>
        <v>3</v>
      </c>
      <c r="C9" s="2">
        <f t="shared" ca="1" si="4"/>
        <v>3</v>
      </c>
      <c r="D9" s="2">
        <f t="shared" ca="1" si="4"/>
        <v>3</v>
      </c>
      <c r="E9" s="2">
        <f t="shared" ca="1" si="4"/>
        <v>6</v>
      </c>
      <c r="F9" s="2">
        <f t="shared" ca="1" si="4"/>
        <v>6</v>
      </c>
      <c r="I9" s="2">
        <v>7</v>
      </c>
      <c r="J9" s="2">
        <f t="shared" ca="1" si="3"/>
        <v>0</v>
      </c>
      <c r="K9" s="2">
        <f t="shared" ca="1" si="1"/>
        <v>0</v>
      </c>
      <c r="L9" s="2">
        <f t="shared" ca="1" si="1"/>
        <v>3</v>
      </c>
      <c r="M9" s="2">
        <f t="shared" ca="1" si="1"/>
        <v>0</v>
      </c>
      <c r="N9" s="2">
        <f t="shared" ca="1" si="1"/>
        <v>0</v>
      </c>
      <c r="O9" s="2">
        <f t="shared" ca="1" si="1"/>
        <v>2</v>
      </c>
      <c r="P9" s="2">
        <f t="shared" ca="1" si="1"/>
        <v>0</v>
      </c>
      <c r="Q9" s="2">
        <f t="shared" ca="1" si="1"/>
        <v>0</v>
      </c>
      <c r="S9" s="2">
        <v>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</row>
    <row r="10" spans="1:29" x14ac:dyDescent="0.25">
      <c r="A10" s="2">
        <v>8</v>
      </c>
      <c r="B10" s="2">
        <f t="shared" ca="1" si="4"/>
        <v>8</v>
      </c>
      <c r="C10" s="2">
        <f t="shared" ca="1" si="4"/>
        <v>7</v>
      </c>
      <c r="D10" s="2">
        <f t="shared" ca="1" si="4"/>
        <v>5</v>
      </c>
      <c r="E10" s="2">
        <f t="shared" ca="1" si="4"/>
        <v>4</v>
      </c>
      <c r="F10" s="2">
        <f t="shared" ca="1" si="4"/>
        <v>4</v>
      </c>
      <c r="I10" s="2">
        <v>8</v>
      </c>
      <c r="J10" s="2">
        <f t="shared" ca="1" si="3"/>
        <v>0</v>
      </c>
      <c r="K10" s="2">
        <f t="shared" ca="1" si="1"/>
        <v>0</v>
      </c>
      <c r="L10" s="2">
        <f t="shared" ca="1" si="1"/>
        <v>0</v>
      </c>
      <c r="M10" s="2">
        <f t="shared" ca="1" si="1"/>
        <v>2</v>
      </c>
      <c r="N10" s="2">
        <f t="shared" ca="1" si="1"/>
        <v>1</v>
      </c>
      <c r="O10" s="2">
        <f t="shared" ca="1" si="1"/>
        <v>0</v>
      </c>
      <c r="P10" s="2">
        <f t="shared" ca="1" si="1"/>
        <v>1</v>
      </c>
      <c r="Q10" s="2">
        <f t="shared" ca="1" si="1"/>
        <v>1</v>
      </c>
      <c r="S10" s="2">
        <v>8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1</v>
      </c>
    </row>
    <row r="11" spans="1:29" x14ac:dyDescent="0.25">
      <c r="A11" s="2">
        <v>9</v>
      </c>
      <c r="B11" s="2">
        <f t="shared" ca="1" si="4"/>
        <v>2</v>
      </c>
      <c r="C11" s="2">
        <f t="shared" ca="1" si="4"/>
        <v>5</v>
      </c>
      <c r="D11" s="2">
        <f t="shared" ca="1" si="4"/>
        <v>3</v>
      </c>
      <c r="E11" s="2">
        <f t="shared" ca="1" si="4"/>
        <v>7</v>
      </c>
      <c r="F11" s="2">
        <f t="shared" ca="1" si="4"/>
        <v>5</v>
      </c>
      <c r="I11" s="2">
        <v>9</v>
      </c>
      <c r="J11" s="2">
        <f t="shared" ca="1" si="3"/>
        <v>0</v>
      </c>
      <c r="K11" s="2">
        <f t="shared" ca="1" si="1"/>
        <v>1</v>
      </c>
      <c r="L11" s="2">
        <f t="shared" ca="1" si="1"/>
        <v>1</v>
      </c>
      <c r="M11" s="2">
        <f t="shared" ca="1" si="1"/>
        <v>0</v>
      </c>
      <c r="N11" s="2">
        <f t="shared" ca="1" si="1"/>
        <v>2</v>
      </c>
      <c r="O11" s="2">
        <f t="shared" ca="1" si="1"/>
        <v>0</v>
      </c>
      <c r="P11" s="2">
        <f t="shared" ca="1" si="1"/>
        <v>1</v>
      </c>
      <c r="Q11" s="2">
        <f t="shared" ca="1" si="1"/>
        <v>0</v>
      </c>
      <c r="S11" s="5" t="s">
        <v>30</v>
      </c>
    </row>
    <row r="12" spans="1:29" x14ac:dyDescent="0.25">
      <c r="A12" s="2">
        <v>10</v>
      </c>
      <c r="B12" s="2">
        <f t="shared" ca="1" si="4"/>
        <v>7</v>
      </c>
      <c r="C12" s="2">
        <f t="shared" ca="1" si="4"/>
        <v>4</v>
      </c>
      <c r="D12" s="2">
        <f t="shared" ca="1" si="4"/>
        <v>8</v>
      </c>
      <c r="E12" s="2">
        <f t="shared" ca="1" si="4"/>
        <v>8</v>
      </c>
      <c r="F12" s="2">
        <f t="shared" ca="1" si="4"/>
        <v>2</v>
      </c>
      <c r="I12" s="2">
        <v>10</v>
      </c>
      <c r="J12" s="2">
        <f t="shared" ca="1" si="3"/>
        <v>0</v>
      </c>
      <c r="K12" s="2">
        <f t="shared" ca="1" si="1"/>
        <v>1</v>
      </c>
      <c r="L12" s="2">
        <f t="shared" ca="1" si="1"/>
        <v>0</v>
      </c>
      <c r="M12" s="2">
        <f t="shared" ca="1" si="1"/>
        <v>1</v>
      </c>
      <c r="N12" s="2">
        <f t="shared" ca="1" si="1"/>
        <v>0</v>
      </c>
      <c r="O12" s="2">
        <f t="shared" ca="1" si="1"/>
        <v>0</v>
      </c>
      <c r="P12" s="2">
        <f t="shared" ca="1" si="1"/>
        <v>1</v>
      </c>
      <c r="Q12" s="2">
        <f t="shared" ca="1" si="1"/>
        <v>2</v>
      </c>
      <c r="S12" s="6" t="s">
        <v>31</v>
      </c>
    </row>
    <row r="13" spans="1:29" x14ac:dyDescent="0.25">
      <c r="A13" s="2">
        <v>11</v>
      </c>
      <c r="B13" s="2">
        <f t="shared" ca="1" si="4"/>
        <v>6</v>
      </c>
      <c r="C13" s="2">
        <f t="shared" ca="1" si="4"/>
        <v>5</v>
      </c>
      <c r="D13" s="2">
        <f t="shared" ca="1" si="4"/>
        <v>2</v>
      </c>
      <c r="E13" s="2">
        <f t="shared" ca="1" si="4"/>
        <v>1</v>
      </c>
      <c r="F13" s="2">
        <f t="shared" ca="1" si="4"/>
        <v>8</v>
      </c>
      <c r="I13" s="2">
        <v>11</v>
      </c>
      <c r="J13" s="2">
        <f t="shared" ca="1" si="3"/>
        <v>1</v>
      </c>
      <c r="K13" s="2">
        <f t="shared" ca="1" si="1"/>
        <v>1</v>
      </c>
      <c r="L13" s="2">
        <f t="shared" ca="1" si="1"/>
        <v>0</v>
      </c>
      <c r="M13" s="2">
        <f t="shared" ca="1" si="1"/>
        <v>0</v>
      </c>
      <c r="N13" s="2">
        <f t="shared" ca="1" si="1"/>
        <v>1</v>
      </c>
      <c r="O13" s="2">
        <f t="shared" ca="1" si="1"/>
        <v>1</v>
      </c>
      <c r="P13" s="2">
        <f t="shared" ca="1" si="1"/>
        <v>0</v>
      </c>
      <c r="Q13" s="2">
        <f t="shared" ca="1" si="1"/>
        <v>1</v>
      </c>
    </row>
    <row r="14" spans="1:29" x14ac:dyDescent="0.25">
      <c r="A14" s="2">
        <v>12</v>
      </c>
      <c r="B14" s="2">
        <f t="shared" ca="1" si="4"/>
        <v>3</v>
      </c>
      <c r="C14" s="2">
        <f t="shared" ca="1" si="4"/>
        <v>5</v>
      </c>
      <c r="D14" s="2">
        <f t="shared" ca="1" si="4"/>
        <v>6</v>
      </c>
      <c r="E14" s="2">
        <f t="shared" ca="1" si="4"/>
        <v>8</v>
      </c>
      <c r="F14" s="2">
        <f t="shared" ca="1" si="4"/>
        <v>6</v>
      </c>
      <c r="I14" s="2">
        <v>12</v>
      </c>
      <c r="J14" s="2">
        <f t="shared" ca="1" si="3"/>
        <v>0</v>
      </c>
      <c r="K14" s="2">
        <f t="shared" ca="1" si="1"/>
        <v>0</v>
      </c>
      <c r="L14" s="2">
        <f t="shared" ca="1" si="1"/>
        <v>1</v>
      </c>
      <c r="M14" s="2">
        <f t="shared" ca="1" si="1"/>
        <v>0</v>
      </c>
      <c r="N14" s="2">
        <f t="shared" ca="1" si="1"/>
        <v>1</v>
      </c>
      <c r="O14" s="2">
        <f t="shared" ca="1" si="1"/>
        <v>2</v>
      </c>
      <c r="P14" s="2">
        <f t="shared" ca="1" si="1"/>
        <v>0</v>
      </c>
      <c r="Q14" s="2">
        <f t="shared" ca="1" si="1"/>
        <v>1</v>
      </c>
      <c r="S14" s="4" t="s">
        <v>20</v>
      </c>
      <c r="T14" s="4"/>
      <c r="U14" s="4"/>
      <c r="V14" s="4"/>
      <c r="W14" s="4"/>
      <c r="X14" s="4"/>
      <c r="Y14" s="4"/>
      <c r="Z14" s="4"/>
      <c r="AA14" s="4"/>
    </row>
    <row r="15" spans="1:29" x14ac:dyDescent="0.25">
      <c r="A15" s="2">
        <v>13</v>
      </c>
      <c r="B15" s="2">
        <f t="shared" ca="1" si="4"/>
        <v>3</v>
      </c>
      <c r="C15" s="2">
        <f t="shared" ca="1" si="4"/>
        <v>2</v>
      </c>
      <c r="D15" s="2">
        <f t="shared" ca="1" si="4"/>
        <v>8</v>
      </c>
      <c r="E15" s="2">
        <f t="shared" ca="1" si="4"/>
        <v>3</v>
      </c>
      <c r="F15" s="2">
        <f t="shared" ca="1" si="4"/>
        <v>7</v>
      </c>
      <c r="I15" s="2">
        <v>13</v>
      </c>
      <c r="J15" s="2">
        <f t="shared" ca="1" si="3"/>
        <v>0</v>
      </c>
      <c r="K15" s="2">
        <f t="shared" ca="1" si="1"/>
        <v>1</v>
      </c>
      <c r="L15" s="2">
        <f t="shared" ca="1" si="1"/>
        <v>2</v>
      </c>
      <c r="M15" s="2">
        <f t="shared" ca="1" si="1"/>
        <v>0</v>
      </c>
      <c r="N15" s="2">
        <f t="shared" ca="1" si="1"/>
        <v>0</v>
      </c>
      <c r="O15" s="2">
        <f t="shared" ca="1" si="1"/>
        <v>0</v>
      </c>
      <c r="P15" s="2">
        <f t="shared" ca="1" si="1"/>
        <v>1</v>
      </c>
      <c r="Q15" s="2">
        <f t="shared" ca="1" si="1"/>
        <v>1</v>
      </c>
      <c r="S15" s="1" t="s">
        <v>18</v>
      </c>
      <c r="T15" s="2">
        <v>1</v>
      </c>
      <c r="U15" s="2">
        <v>2</v>
      </c>
      <c r="V15" s="2">
        <v>3</v>
      </c>
      <c r="W15" s="2">
        <v>4</v>
      </c>
      <c r="X15" s="2">
        <v>5</v>
      </c>
      <c r="Y15" s="2">
        <v>6</v>
      </c>
      <c r="Z15" s="2">
        <v>7</v>
      </c>
      <c r="AA15" s="2">
        <v>8</v>
      </c>
      <c r="AB15" s="2" t="s">
        <v>23</v>
      </c>
      <c r="AC15" s="2" t="s">
        <v>21</v>
      </c>
    </row>
    <row r="16" spans="1:29" x14ac:dyDescent="0.25">
      <c r="A16" s="2">
        <v>14</v>
      </c>
      <c r="B16" s="2">
        <f t="shared" ca="1" si="4"/>
        <v>4</v>
      </c>
      <c r="C16" s="2">
        <f t="shared" ca="1" si="4"/>
        <v>3</v>
      </c>
      <c r="D16" s="2">
        <f t="shared" ca="1" si="4"/>
        <v>5</v>
      </c>
      <c r="E16" s="2">
        <f t="shared" ca="1" si="4"/>
        <v>2</v>
      </c>
      <c r="F16" s="2">
        <f t="shared" ca="1" si="4"/>
        <v>1</v>
      </c>
      <c r="I16" s="2">
        <v>14</v>
      </c>
      <c r="J16" s="2">
        <f t="shared" ca="1" si="3"/>
        <v>1</v>
      </c>
      <c r="K16" s="2">
        <f t="shared" ca="1" si="1"/>
        <v>1</v>
      </c>
      <c r="L16" s="2">
        <f t="shared" ca="1" si="1"/>
        <v>1</v>
      </c>
      <c r="M16" s="2">
        <f t="shared" ca="1" si="1"/>
        <v>1</v>
      </c>
      <c r="N16" s="2">
        <f t="shared" ca="1" si="1"/>
        <v>1</v>
      </c>
      <c r="O16" s="2">
        <f t="shared" ca="1" si="1"/>
        <v>0</v>
      </c>
      <c r="P16" s="2">
        <f t="shared" ca="1" si="1"/>
        <v>0</v>
      </c>
      <c r="Q16" s="2">
        <f t="shared" ca="1" si="1"/>
        <v>0</v>
      </c>
      <c r="S16" s="2">
        <v>1</v>
      </c>
      <c r="T16" s="2" cm="1">
        <f t="array" aca="1" ref="T16:AA45" ca="1">MMULT(J3:Q32,T3:AA10)</f>
        <v>5</v>
      </c>
      <c r="U16" s="2">
        <f ca="1"/>
        <v>0</v>
      </c>
      <c r="V16" s="2">
        <f ca="1"/>
        <v>0</v>
      </c>
      <c r="W16" s="2">
        <f ca="1"/>
        <v>0</v>
      </c>
      <c r="X16" s="2">
        <f ca="1"/>
        <v>0</v>
      </c>
      <c r="Y16" s="2">
        <f ca="1"/>
        <v>0</v>
      </c>
      <c r="Z16" s="2">
        <f ca="1"/>
        <v>0</v>
      </c>
      <c r="AA16" s="2">
        <f ca="1"/>
        <v>0</v>
      </c>
      <c r="AB16" s="2">
        <f ca="1">SUM(T16:AA16)</f>
        <v>5</v>
      </c>
      <c r="AC16" s="2" cm="1">
        <f t="array" aca="1" ref="AC16" ca="1">SUMPRODUCT(J3:Q3,T16:AA16-1)/($Q$37*(AB16-1))</f>
        <v>1</v>
      </c>
    </row>
    <row r="17" spans="1:29" x14ac:dyDescent="0.25">
      <c r="A17" s="2">
        <v>15</v>
      </c>
      <c r="B17" s="2">
        <f t="shared" ca="1" si="4"/>
        <v>2</v>
      </c>
      <c r="C17" s="2">
        <f t="shared" ca="1" si="4"/>
        <v>4</v>
      </c>
      <c r="D17" s="2">
        <f t="shared" ca="1" si="4"/>
        <v>3</v>
      </c>
      <c r="E17" s="2">
        <f t="shared" ca="1" si="4"/>
        <v>7</v>
      </c>
      <c r="F17" s="2">
        <f t="shared" ca="1" si="4"/>
        <v>4</v>
      </c>
      <c r="I17" s="2">
        <v>15</v>
      </c>
      <c r="J17" s="2">
        <f t="shared" ca="1" si="3"/>
        <v>0</v>
      </c>
      <c r="K17" s="2">
        <f t="shared" ca="1" si="1"/>
        <v>1</v>
      </c>
      <c r="L17" s="2">
        <f t="shared" ca="1" si="1"/>
        <v>1</v>
      </c>
      <c r="M17" s="2">
        <f t="shared" ca="1" si="1"/>
        <v>2</v>
      </c>
      <c r="N17" s="2">
        <f t="shared" ca="1" si="1"/>
        <v>0</v>
      </c>
      <c r="O17" s="2">
        <f t="shared" ca="1" si="1"/>
        <v>0</v>
      </c>
      <c r="P17" s="2">
        <f t="shared" ca="1" si="1"/>
        <v>1</v>
      </c>
      <c r="Q17" s="2">
        <f t="shared" ca="1" si="1"/>
        <v>0</v>
      </c>
      <c r="S17" s="2">
        <v>2</v>
      </c>
      <c r="T17" s="2">
        <f ca="1"/>
        <v>5</v>
      </c>
      <c r="U17" s="2">
        <f ca="1"/>
        <v>0</v>
      </c>
      <c r="V17" s="2">
        <f ca="1"/>
        <v>0</v>
      </c>
      <c r="W17" s="2">
        <f ca="1"/>
        <v>0</v>
      </c>
      <c r="X17" s="2">
        <f ca="1"/>
        <v>0</v>
      </c>
      <c r="Y17" s="2">
        <f ca="1"/>
        <v>0</v>
      </c>
      <c r="Z17" s="2">
        <f ca="1"/>
        <v>0</v>
      </c>
      <c r="AA17" s="2">
        <f ca="1"/>
        <v>0</v>
      </c>
      <c r="AB17" s="2">
        <f t="shared" ref="AB17:AB45" ca="1" si="5">SUM(T17:AA17)</f>
        <v>5</v>
      </c>
      <c r="AC17" s="2" cm="1">
        <f t="array" aca="1" ref="AC17" ca="1">SUMPRODUCT(J4:Q4,T17:AA17-1)/($Q$37*(AB17-1))</f>
        <v>1</v>
      </c>
    </row>
    <row r="18" spans="1:29" x14ac:dyDescent="0.25">
      <c r="A18" s="2">
        <v>16</v>
      </c>
      <c r="B18" s="2">
        <f t="shared" ca="1" si="4"/>
        <v>4</v>
      </c>
      <c r="C18" s="2">
        <f t="shared" ca="1" si="4"/>
        <v>4</v>
      </c>
      <c r="D18" s="2">
        <f t="shared" ca="1" si="4"/>
        <v>7</v>
      </c>
      <c r="E18" s="2">
        <f t="shared" ca="1" si="4"/>
        <v>6</v>
      </c>
      <c r="F18" s="2">
        <f t="shared" ca="1" si="4"/>
        <v>5</v>
      </c>
      <c r="I18" s="2">
        <v>16</v>
      </c>
      <c r="J18" s="2">
        <f t="shared" ca="1" si="3"/>
        <v>0</v>
      </c>
      <c r="K18" s="2">
        <f t="shared" ca="1" si="1"/>
        <v>0</v>
      </c>
      <c r="L18" s="2">
        <f t="shared" ca="1" si="1"/>
        <v>0</v>
      </c>
      <c r="M18" s="2">
        <f t="shared" ca="1" si="1"/>
        <v>2</v>
      </c>
      <c r="N18" s="2">
        <f t="shared" ca="1" si="1"/>
        <v>1</v>
      </c>
      <c r="O18" s="2">
        <f t="shared" ca="1" si="1"/>
        <v>1</v>
      </c>
      <c r="P18" s="2">
        <f t="shared" ca="1" si="1"/>
        <v>1</v>
      </c>
      <c r="Q18" s="2">
        <f t="shared" ca="1" si="1"/>
        <v>0</v>
      </c>
      <c r="S18" s="2">
        <v>3</v>
      </c>
      <c r="T18" s="2">
        <f ca="1"/>
        <v>5</v>
      </c>
      <c r="U18" s="2">
        <f ca="1"/>
        <v>0</v>
      </c>
      <c r="V18" s="2">
        <f ca="1"/>
        <v>0</v>
      </c>
      <c r="W18" s="2">
        <f ca="1"/>
        <v>0</v>
      </c>
      <c r="X18" s="2">
        <f ca="1"/>
        <v>0</v>
      </c>
      <c r="Y18" s="2">
        <f ca="1"/>
        <v>0</v>
      </c>
      <c r="Z18" s="2">
        <f ca="1"/>
        <v>0</v>
      </c>
      <c r="AA18" s="2">
        <f ca="1"/>
        <v>0</v>
      </c>
      <c r="AB18" s="2">
        <f t="shared" ca="1" si="5"/>
        <v>5</v>
      </c>
      <c r="AC18" s="2" cm="1">
        <f t="array" aca="1" ref="AC18" ca="1">SUMPRODUCT(J5:Q5,T18:AA18-1)/($Q$37*(AB18-1))</f>
        <v>1</v>
      </c>
    </row>
    <row r="19" spans="1:29" x14ac:dyDescent="0.25">
      <c r="A19" s="2">
        <v>17</v>
      </c>
      <c r="B19" s="2">
        <f t="shared" ca="1" si="4"/>
        <v>3</v>
      </c>
      <c r="C19" s="2">
        <f t="shared" ca="1" si="4"/>
        <v>8</v>
      </c>
      <c r="D19" s="2">
        <f t="shared" ca="1" si="4"/>
        <v>6</v>
      </c>
      <c r="E19" s="2">
        <f t="shared" ca="1" si="4"/>
        <v>6</v>
      </c>
      <c r="F19" s="2">
        <f t="shared" ca="1" si="4"/>
        <v>3</v>
      </c>
      <c r="I19" s="2">
        <v>17</v>
      </c>
      <c r="J19" s="2">
        <f t="shared" ca="1" si="3"/>
        <v>0</v>
      </c>
      <c r="K19" s="2">
        <f t="shared" ca="1" si="3"/>
        <v>0</v>
      </c>
      <c r="L19" s="2">
        <f t="shared" ca="1" si="3"/>
        <v>2</v>
      </c>
      <c r="M19" s="2">
        <f t="shared" ca="1" si="3"/>
        <v>0</v>
      </c>
      <c r="N19" s="2">
        <f t="shared" ca="1" si="3"/>
        <v>0</v>
      </c>
      <c r="O19" s="2">
        <f t="shared" ca="1" si="3"/>
        <v>2</v>
      </c>
      <c r="P19" s="2">
        <f t="shared" ca="1" si="3"/>
        <v>0</v>
      </c>
      <c r="Q19" s="2">
        <f t="shared" ca="1" si="3"/>
        <v>1</v>
      </c>
      <c r="S19" s="2">
        <v>4</v>
      </c>
      <c r="T19" s="2">
        <f ca="1"/>
        <v>5</v>
      </c>
      <c r="U19" s="2">
        <f ca="1"/>
        <v>0</v>
      </c>
      <c r="V19" s="2">
        <f ca="1"/>
        <v>0</v>
      </c>
      <c r="W19" s="2">
        <f ca="1"/>
        <v>0</v>
      </c>
      <c r="X19" s="2">
        <f ca="1"/>
        <v>0</v>
      </c>
      <c r="Y19" s="2">
        <f ca="1"/>
        <v>0</v>
      </c>
      <c r="Z19" s="2">
        <f ca="1"/>
        <v>0</v>
      </c>
      <c r="AA19" s="2">
        <f ca="1"/>
        <v>0</v>
      </c>
      <c r="AB19" s="2">
        <f t="shared" ca="1" si="5"/>
        <v>5</v>
      </c>
      <c r="AC19" s="2" cm="1">
        <f t="array" aca="1" ref="AC19" ca="1">SUMPRODUCT(J6:Q6,T19:AA19-1)/($Q$37*(AB19-1))</f>
        <v>1</v>
      </c>
    </row>
    <row r="20" spans="1:29" x14ac:dyDescent="0.25">
      <c r="A20" s="2">
        <v>18</v>
      </c>
      <c r="B20" s="2">
        <f t="shared" ca="1" si="4"/>
        <v>1</v>
      </c>
      <c r="C20" s="2">
        <f t="shared" ca="1" si="4"/>
        <v>7</v>
      </c>
      <c r="D20" s="2">
        <f t="shared" ca="1" si="4"/>
        <v>1</v>
      </c>
      <c r="E20" s="2">
        <f t="shared" ca="1" si="4"/>
        <v>7</v>
      </c>
      <c r="F20" s="2">
        <f t="shared" ca="1" si="4"/>
        <v>5</v>
      </c>
      <c r="I20" s="2">
        <v>18</v>
      </c>
      <c r="J20" s="2">
        <f t="shared" ca="1" si="3"/>
        <v>2</v>
      </c>
      <c r="K20" s="2">
        <f t="shared" ca="1" si="3"/>
        <v>0</v>
      </c>
      <c r="L20" s="2">
        <f t="shared" ca="1" si="3"/>
        <v>0</v>
      </c>
      <c r="M20" s="2">
        <f t="shared" ca="1" si="3"/>
        <v>0</v>
      </c>
      <c r="N20" s="2">
        <f t="shared" ca="1" si="3"/>
        <v>1</v>
      </c>
      <c r="O20" s="2">
        <f t="shared" ca="1" si="3"/>
        <v>0</v>
      </c>
      <c r="P20" s="2">
        <f t="shared" ca="1" si="3"/>
        <v>2</v>
      </c>
      <c r="Q20" s="2">
        <f t="shared" ca="1" si="3"/>
        <v>0</v>
      </c>
      <c r="S20" s="2">
        <v>5</v>
      </c>
      <c r="T20" s="2">
        <f ca="1"/>
        <v>5</v>
      </c>
      <c r="U20" s="2">
        <f ca="1"/>
        <v>0</v>
      </c>
      <c r="V20" s="2">
        <f ca="1"/>
        <v>0</v>
      </c>
      <c r="W20" s="2">
        <f ca="1"/>
        <v>0</v>
      </c>
      <c r="X20" s="2">
        <f ca="1"/>
        <v>0</v>
      </c>
      <c r="Y20" s="2">
        <f ca="1"/>
        <v>0</v>
      </c>
      <c r="Z20" s="2">
        <f ca="1"/>
        <v>0</v>
      </c>
      <c r="AA20" s="2">
        <f ca="1"/>
        <v>0</v>
      </c>
      <c r="AB20" s="2">
        <f t="shared" ca="1" si="5"/>
        <v>5</v>
      </c>
      <c r="AC20" s="2" cm="1">
        <f t="array" aca="1" ref="AC20" ca="1">SUMPRODUCT(J7:Q7,T20:AA20-1)/($Q$37*(AB20-1))</f>
        <v>1</v>
      </c>
    </row>
    <row r="21" spans="1:29" x14ac:dyDescent="0.25">
      <c r="A21" s="2">
        <v>19</v>
      </c>
      <c r="B21" s="2">
        <f t="shared" ca="1" si="4"/>
        <v>4</v>
      </c>
      <c r="C21" s="2">
        <f t="shared" ca="1" si="4"/>
        <v>1</v>
      </c>
      <c r="D21" s="2">
        <f t="shared" ca="1" si="4"/>
        <v>3</v>
      </c>
      <c r="E21" s="2">
        <f t="shared" ca="1" si="4"/>
        <v>2</v>
      </c>
      <c r="F21" s="2">
        <f t="shared" ca="1" si="4"/>
        <v>2</v>
      </c>
      <c r="I21" s="2">
        <v>19</v>
      </c>
      <c r="J21" s="2">
        <f t="shared" ca="1" si="3"/>
        <v>1</v>
      </c>
      <c r="K21" s="2">
        <f t="shared" ca="1" si="3"/>
        <v>2</v>
      </c>
      <c r="L21" s="2">
        <f t="shared" ca="1" si="3"/>
        <v>1</v>
      </c>
      <c r="M21" s="2">
        <f t="shared" ca="1" si="3"/>
        <v>1</v>
      </c>
      <c r="N21" s="2">
        <f t="shared" ca="1" si="3"/>
        <v>0</v>
      </c>
      <c r="O21" s="2">
        <f t="shared" ca="1" si="3"/>
        <v>0</v>
      </c>
      <c r="P21" s="2">
        <f t="shared" ca="1" si="3"/>
        <v>0</v>
      </c>
      <c r="Q21" s="2">
        <f t="shared" ca="1" si="3"/>
        <v>0</v>
      </c>
      <c r="S21" s="2">
        <v>6</v>
      </c>
      <c r="T21" s="2">
        <f ca="1"/>
        <v>2</v>
      </c>
      <c r="U21" s="2">
        <f ca="1"/>
        <v>1</v>
      </c>
      <c r="V21" s="2">
        <f ca="1"/>
        <v>0</v>
      </c>
      <c r="W21" s="2">
        <f ca="1"/>
        <v>0</v>
      </c>
      <c r="X21" s="2">
        <f ca="1"/>
        <v>1</v>
      </c>
      <c r="Y21" s="2">
        <f ca="1"/>
        <v>1</v>
      </c>
      <c r="Z21" s="2">
        <f ca="1"/>
        <v>0</v>
      </c>
      <c r="AA21" s="2">
        <f ca="1"/>
        <v>0</v>
      </c>
      <c r="AB21" s="2">
        <f t="shared" ca="1" si="5"/>
        <v>5</v>
      </c>
      <c r="AC21" s="2" cm="1">
        <f t="array" aca="1" ref="AC21" ca="1">SUMPRODUCT(J8:Q8,T21:AA21-1)/($Q$37*(AB21-1))</f>
        <v>0.1</v>
      </c>
    </row>
    <row r="22" spans="1:29" x14ac:dyDescent="0.25">
      <c r="A22" s="2">
        <v>20</v>
      </c>
      <c r="B22" s="2">
        <f t="shared" ca="1" si="4"/>
        <v>5</v>
      </c>
      <c r="C22" s="2">
        <f t="shared" ca="1" si="4"/>
        <v>4</v>
      </c>
      <c r="D22" s="2">
        <f t="shared" ca="1" si="4"/>
        <v>6</v>
      </c>
      <c r="E22" s="2">
        <f t="shared" ca="1" si="4"/>
        <v>5</v>
      </c>
      <c r="F22" s="2">
        <f t="shared" ca="1" si="4"/>
        <v>6</v>
      </c>
      <c r="I22" s="2">
        <v>20</v>
      </c>
      <c r="J22" s="2">
        <f t="shared" ca="1" si="3"/>
        <v>0</v>
      </c>
      <c r="K22" s="2">
        <f t="shared" ca="1" si="3"/>
        <v>0</v>
      </c>
      <c r="L22" s="2">
        <f t="shared" ca="1" si="3"/>
        <v>0</v>
      </c>
      <c r="M22" s="2">
        <f t="shared" ca="1" si="3"/>
        <v>1</v>
      </c>
      <c r="N22" s="2">
        <f t="shared" ca="1" si="3"/>
        <v>2</v>
      </c>
      <c r="O22" s="2">
        <f t="shared" ca="1" si="3"/>
        <v>2</v>
      </c>
      <c r="P22" s="2">
        <f t="shared" ca="1" si="3"/>
        <v>0</v>
      </c>
      <c r="Q22" s="2">
        <f t="shared" ca="1" si="3"/>
        <v>0</v>
      </c>
      <c r="S22" s="2">
        <v>7</v>
      </c>
      <c r="T22" s="2">
        <f ca="1"/>
        <v>0</v>
      </c>
      <c r="U22" s="2">
        <f ca="1"/>
        <v>0</v>
      </c>
      <c r="V22" s="2">
        <f ca="1"/>
        <v>3</v>
      </c>
      <c r="W22" s="2">
        <f ca="1"/>
        <v>0</v>
      </c>
      <c r="X22" s="2">
        <f ca="1"/>
        <v>0</v>
      </c>
      <c r="Y22" s="2">
        <f ca="1"/>
        <v>2</v>
      </c>
      <c r="Z22" s="2">
        <f ca="1"/>
        <v>0</v>
      </c>
      <c r="AA22" s="2">
        <f ca="1"/>
        <v>0</v>
      </c>
      <c r="AB22" s="2">
        <f t="shared" ca="1" si="5"/>
        <v>5</v>
      </c>
      <c r="AC22" s="2" cm="1">
        <f t="array" aca="1" ref="AC22" ca="1">SUMPRODUCT(J9:Q9,T22:AA22-1)/($Q$37*(AB22-1))</f>
        <v>0.4</v>
      </c>
    </row>
    <row r="23" spans="1:29" x14ac:dyDescent="0.25">
      <c r="A23" s="2">
        <v>21</v>
      </c>
      <c r="B23" s="2">
        <f t="shared" ca="1" si="4"/>
        <v>8</v>
      </c>
      <c r="C23" s="2">
        <f t="shared" ca="1" si="4"/>
        <v>6</v>
      </c>
      <c r="D23" s="2">
        <f t="shared" ca="1" si="4"/>
        <v>3</v>
      </c>
      <c r="E23" s="2">
        <f t="shared" ca="1" si="4"/>
        <v>4</v>
      </c>
      <c r="F23" s="2">
        <f t="shared" ca="1" si="4"/>
        <v>8</v>
      </c>
      <c r="I23" s="2">
        <v>21</v>
      </c>
      <c r="J23" s="2">
        <f t="shared" ca="1" si="3"/>
        <v>0</v>
      </c>
      <c r="K23" s="2">
        <f t="shared" ca="1" si="3"/>
        <v>0</v>
      </c>
      <c r="L23" s="2">
        <f t="shared" ca="1" si="3"/>
        <v>1</v>
      </c>
      <c r="M23" s="2">
        <f t="shared" ca="1" si="3"/>
        <v>1</v>
      </c>
      <c r="N23" s="2">
        <f t="shared" ca="1" si="3"/>
        <v>0</v>
      </c>
      <c r="O23" s="2">
        <f t="shared" ca="1" si="3"/>
        <v>1</v>
      </c>
      <c r="P23" s="2">
        <f t="shared" ca="1" si="3"/>
        <v>0</v>
      </c>
      <c r="Q23" s="2">
        <f t="shared" ca="1" si="3"/>
        <v>2</v>
      </c>
      <c r="S23" s="2">
        <v>8</v>
      </c>
      <c r="T23" s="2">
        <f ca="1"/>
        <v>0</v>
      </c>
      <c r="U23" s="2">
        <f ca="1"/>
        <v>0</v>
      </c>
      <c r="V23" s="2">
        <f ca="1"/>
        <v>0</v>
      </c>
      <c r="W23" s="2">
        <f ca="1"/>
        <v>2</v>
      </c>
      <c r="X23" s="2">
        <f ca="1"/>
        <v>1</v>
      </c>
      <c r="Y23" s="2">
        <f ca="1"/>
        <v>0</v>
      </c>
      <c r="Z23" s="2">
        <f ca="1"/>
        <v>1</v>
      </c>
      <c r="AA23" s="2">
        <f ca="1"/>
        <v>1</v>
      </c>
      <c r="AB23" s="2">
        <f t="shared" ca="1" si="5"/>
        <v>5</v>
      </c>
      <c r="AC23" s="2" cm="1">
        <f t="array" aca="1" ref="AC23" ca="1">SUMPRODUCT(J10:Q10,T23:AA23-1)/($Q$37*(AB23-1))</f>
        <v>0.1</v>
      </c>
    </row>
    <row r="24" spans="1:29" x14ac:dyDescent="0.25">
      <c r="A24" s="2">
        <v>22</v>
      </c>
      <c r="B24" s="2">
        <f t="shared" ca="1" si="4"/>
        <v>5</v>
      </c>
      <c r="C24" s="2">
        <f t="shared" ca="1" si="4"/>
        <v>8</v>
      </c>
      <c r="D24" s="2">
        <f t="shared" ca="1" si="4"/>
        <v>1</v>
      </c>
      <c r="E24" s="2">
        <f t="shared" ca="1" si="4"/>
        <v>8</v>
      </c>
      <c r="F24" s="2">
        <f t="shared" ca="1" si="4"/>
        <v>8</v>
      </c>
      <c r="I24" s="2">
        <v>22</v>
      </c>
      <c r="J24" s="2">
        <f t="shared" ca="1" si="3"/>
        <v>1</v>
      </c>
      <c r="K24" s="2">
        <f t="shared" ca="1" si="3"/>
        <v>0</v>
      </c>
      <c r="L24" s="2">
        <f t="shared" ca="1" si="3"/>
        <v>0</v>
      </c>
      <c r="M24" s="2">
        <f t="shared" ca="1" si="3"/>
        <v>0</v>
      </c>
      <c r="N24" s="2">
        <f t="shared" ca="1" si="3"/>
        <v>1</v>
      </c>
      <c r="O24" s="2">
        <f t="shared" ca="1" si="3"/>
        <v>0</v>
      </c>
      <c r="P24" s="2">
        <f t="shared" ca="1" si="3"/>
        <v>0</v>
      </c>
      <c r="Q24" s="2">
        <f t="shared" ca="1" si="3"/>
        <v>3</v>
      </c>
      <c r="S24" s="2">
        <v>9</v>
      </c>
      <c r="T24" s="2">
        <f ca="1"/>
        <v>0</v>
      </c>
      <c r="U24" s="2">
        <f ca="1"/>
        <v>1</v>
      </c>
      <c r="V24" s="2">
        <f ca="1"/>
        <v>1</v>
      </c>
      <c r="W24" s="2">
        <f ca="1"/>
        <v>0</v>
      </c>
      <c r="X24" s="2">
        <f ca="1"/>
        <v>2</v>
      </c>
      <c r="Y24" s="2">
        <f ca="1"/>
        <v>0</v>
      </c>
      <c r="Z24" s="2">
        <f ca="1"/>
        <v>1</v>
      </c>
      <c r="AA24" s="2">
        <f ca="1"/>
        <v>0</v>
      </c>
      <c r="AB24" s="2">
        <f t="shared" ca="1" si="5"/>
        <v>5</v>
      </c>
      <c r="AC24" s="2" cm="1">
        <f t="array" aca="1" ref="AC24" ca="1">SUMPRODUCT(J11:Q11,T24:AA24-1)/($Q$37*(AB24-1))</f>
        <v>0.1</v>
      </c>
    </row>
    <row r="25" spans="1:29" x14ac:dyDescent="0.25">
      <c r="A25" s="2">
        <v>23</v>
      </c>
      <c r="B25" s="2">
        <f t="shared" ca="1" si="4"/>
        <v>4</v>
      </c>
      <c r="C25" s="2">
        <f t="shared" ca="1" si="4"/>
        <v>2</v>
      </c>
      <c r="D25" s="2">
        <f t="shared" ca="1" si="4"/>
        <v>8</v>
      </c>
      <c r="E25" s="2">
        <f t="shared" ca="1" si="4"/>
        <v>8</v>
      </c>
      <c r="F25" s="2">
        <f t="shared" ca="1" si="4"/>
        <v>7</v>
      </c>
      <c r="I25" s="2">
        <v>23</v>
      </c>
      <c r="J25" s="2">
        <f t="shared" ca="1" si="3"/>
        <v>0</v>
      </c>
      <c r="K25" s="2">
        <f t="shared" ca="1" si="3"/>
        <v>1</v>
      </c>
      <c r="L25" s="2">
        <f t="shared" ca="1" si="3"/>
        <v>0</v>
      </c>
      <c r="M25" s="2">
        <f t="shared" ca="1" si="3"/>
        <v>1</v>
      </c>
      <c r="N25" s="2">
        <f t="shared" ca="1" si="3"/>
        <v>0</v>
      </c>
      <c r="O25" s="2">
        <f t="shared" ca="1" si="3"/>
        <v>0</v>
      </c>
      <c r="P25" s="2">
        <f t="shared" ca="1" si="3"/>
        <v>1</v>
      </c>
      <c r="Q25" s="2">
        <f t="shared" ca="1" si="3"/>
        <v>2</v>
      </c>
      <c r="S25" s="2">
        <v>10</v>
      </c>
      <c r="T25" s="2">
        <f ca="1"/>
        <v>0</v>
      </c>
      <c r="U25" s="2">
        <f ca="1"/>
        <v>1</v>
      </c>
      <c r="V25" s="2">
        <f ca="1"/>
        <v>0</v>
      </c>
      <c r="W25" s="2">
        <f ca="1"/>
        <v>1</v>
      </c>
      <c r="X25" s="2">
        <f ca="1"/>
        <v>0</v>
      </c>
      <c r="Y25" s="2">
        <f ca="1"/>
        <v>0</v>
      </c>
      <c r="Z25" s="2">
        <f ca="1"/>
        <v>1</v>
      </c>
      <c r="AA25" s="2">
        <f ca="1"/>
        <v>2</v>
      </c>
      <c r="AB25" s="2">
        <f t="shared" ca="1" si="5"/>
        <v>5</v>
      </c>
      <c r="AC25" s="2" cm="1">
        <f t="array" aca="1" ref="AC25" ca="1">SUMPRODUCT(J12:Q12,T25:AA25-1)/($Q$37*(AB25-1))</f>
        <v>0.1</v>
      </c>
    </row>
    <row r="26" spans="1:29" x14ac:dyDescent="0.25">
      <c r="A26" s="2">
        <v>24</v>
      </c>
      <c r="B26" s="2">
        <f t="shared" ca="1" si="4"/>
        <v>6</v>
      </c>
      <c r="C26" s="2">
        <f t="shared" ca="1" si="4"/>
        <v>1</v>
      </c>
      <c r="D26" s="2">
        <f t="shared" ca="1" si="4"/>
        <v>8</v>
      </c>
      <c r="E26" s="2">
        <f t="shared" ca="1" si="4"/>
        <v>8</v>
      </c>
      <c r="F26" s="2">
        <f t="shared" ca="1" si="4"/>
        <v>8</v>
      </c>
      <c r="I26" s="2">
        <v>24</v>
      </c>
      <c r="J26" s="2">
        <f t="shared" ca="1" si="3"/>
        <v>1</v>
      </c>
      <c r="K26" s="2">
        <f t="shared" ca="1" si="3"/>
        <v>0</v>
      </c>
      <c r="L26" s="2">
        <f t="shared" ca="1" si="3"/>
        <v>0</v>
      </c>
      <c r="M26" s="2">
        <f t="shared" ca="1" si="3"/>
        <v>0</v>
      </c>
      <c r="N26" s="2">
        <f t="shared" ca="1" si="3"/>
        <v>0</v>
      </c>
      <c r="O26" s="2">
        <f t="shared" ca="1" si="3"/>
        <v>1</v>
      </c>
      <c r="P26" s="2">
        <f t="shared" ca="1" si="3"/>
        <v>0</v>
      </c>
      <c r="Q26" s="2">
        <f t="shared" ca="1" si="3"/>
        <v>3</v>
      </c>
      <c r="S26" s="2">
        <v>11</v>
      </c>
      <c r="T26" s="2">
        <f ca="1"/>
        <v>1</v>
      </c>
      <c r="U26" s="2">
        <f ca="1"/>
        <v>1</v>
      </c>
      <c r="V26" s="2">
        <f ca="1"/>
        <v>0</v>
      </c>
      <c r="W26" s="2">
        <f ca="1"/>
        <v>0</v>
      </c>
      <c r="X26" s="2">
        <f ca="1"/>
        <v>1</v>
      </c>
      <c r="Y26" s="2">
        <f ca="1"/>
        <v>1</v>
      </c>
      <c r="Z26" s="2">
        <f ca="1"/>
        <v>0</v>
      </c>
      <c r="AA26" s="2">
        <f ca="1"/>
        <v>1</v>
      </c>
      <c r="AB26" s="2">
        <f t="shared" ca="1" si="5"/>
        <v>5</v>
      </c>
      <c r="AC26" s="2" cm="1">
        <f t="array" aca="1" ref="AC26" ca="1">SUMPRODUCT(J13:Q13,T26:AA26-1)/($Q$37*(AB26-1))</f>
        <v>0</v>
      </c>
    </row>
    <row r="27" spans="1:29" x14ac:dyDescent="0.25">
      <c r="A27" s="2">
        <v>25</v>
      </c>
      <c r="B27" s="2">
        <f t="shared" ca="1" si="4"/>
        <v>2</v>
      </c>
      <c r="C27" s="2">
        <f t="shared" ca="1" si="4"/>
        <v>4</v>
      </c>
      <c r="D27" s="2">
        <f t="shared" ca="1" si="4"/>
        <v>3</v>
      </c>
      <c r="E27" s="2">
        <f t="shared" ca="1" si="4"/>
        <v>3</v>
      </c>
      <c r="F27" s="2">
        <f t="shared" ca="1" si="4"/>
        <v>3</v>
      </c>
      <c r="I27" s="2">
        <v>25</v>
      </c>
      <c r="J27" s="2">
        <f t="shared" ca="1" si="3"/>
        <v>0</v>
      </c>
      <c r="K27" s="2">
        <f t="shared" ca="1" si="3"/>
        <v>1</v>
      </c>
      <c r="L27" s="2">
        <f t="shared" ca="1" si="3"/>
        <v>3</v>
      </c>
      <c r="M27" s="2">
        <f t="shared" ca="1" si="3"/>
        <v>1</v>
      </c>
      <c r="N27" s="2">
        <f t="shared" ca="1" si="3"/>
        <v>0</v>
      </c>
      <c r="O27" s="2">
        <f t="shared" ca="1" si="3"/>
        <v>0</v>
      </c>
      <c r="P27" s="2">
        <f t="shared" ca="1" si="3"/>
        <v>0</v>
      </c>
      <c r="Q27" s="2">
        <f t="shared" ca="1" si="3"/>
        <v>0</v>
      </c>
      <c r="S27" s="2">
        <v>12</v>
      </c>
      <c r="T27" s="2">
        <f ca="1"/>
        <v>0</v>
      </c>
      <c r="U27" s="2">
        <f ca="1"/>
        <v>0</v>
      </c>
      <c r="V27" s="2">
        <f ca="1"/>
        <v>1</v>
      </c>
      <c r="W27" s="2">
        <f ca="1"/>
        <v>0</v>
      </c>
      <c r="X27" s="2">
        <f ca="1"/>
        <v>1</v>
      </c>
      <c r="Y27" s="2">
        <f ca="1"/>
        <v>2</v>
      </c>
      <c r="Z27" s="2">
        <f ca="1"/>
        <v>0</v>
      </c>
      <c r="AA27" s="2">
        <f ca="1"/>
        <v>1</v>
      </c>
      <c r="AB27" s="2">
        <f t="shared" ca="1" si="5"/>
        <v>5</v>
      </c>
      <c r="AC27" s="2" cm="1">
        <f t="array" aca="1" ref="AC27" ca="1">SUMPRODUCT(J14:Q14,T27:AA27-1)/($Q$37*(AB27-1))</f>
        <v>0.1</v>
      </c>
    </row>
    <row r="28" spans="1:29" x14ac:dyDescent="0.25">
      <c r="A28" s="2">
        <v>26</v>
      </c>
      <c r="B28" s="2">
        <f t="shared" ca="1" si="4"/>
        <v>1</v>
      </c>
      <c r="C28" s="2">
        <f t="shared" ca="1" si="4"/>
        <v>7</v>
      </c>
      <c r="D28" s="2">
        <f t="shared" ca="1" si="4"/>
        <v>7</v>
      </c>
      <c r="E28" s="2">
        <f t="shared" ca="1" si="4"/>
        <v>5</v>
      </c>
      <c r="F28" s="2">
        <f t="shared" ca="1" si="4"/>
        <v>3</v>
      </c>
      <c r="I28" s="2">
        <v>26</v>
      </c>
      <c r="J28" s="2">
        <f t="shared" ca="1" si="3"/>
        <v>1</v>
      </c>
      <c r="K28" s="2">
        <f t="shared" ca="1" si="3"/>
        <v>0</v>
      </c>
      <c r="L28" s="2">
        <f t="shared" ca="1" si="3"/>
        <v>1</v>
      </c>
      <c r="M28" s="2">
        <f t="shared" ca="1" si="3"/>
        <v>0</v>
      </c>
      <c r="N28" s="2">
        <f t="shared" ca="1" si="3"/>
        <v>1</v>
      </c>
      <c r="O28" s="2">
        <f t="shared" ca="1" si="3"/>
        <v>0</v>
      </c>
      <c r="P28" s="2">
        <f t="shared" ca="1" si="3"/>
        <v>2</v>
      </c>
      <c r="Q28" s="2">
        <f t="shared" ca="1" si="3"/>
        <v>0</v>
      </c>
      <c r="S28" s="2">
        <v>13</v>
      </c>
      <c r="T28" s="2">
        <f ca="1"/>
        <v>0</v>
      </c>
      <c r="U28" s="2">
        <f ca="1"/>
        <v>1</v>
      </c>
      <c r="V28" s="2">
        <f ca="1"/>
        <v>2</v>
      </c>
      <c r="W28" s="2">
        <f ca="1"/>
        <v>0</v>
      </c>
      <c r="X28" s="2">
        <f ca="1"/>
        <v>0</v>
      </c>
      <c r="Y28" s="2">
        <f ca="1"/>
        <v>0</v>
      </c>
      <c r="Z28" s="2">
        <f ca="1"/>
        <v>1</v>
      </c>
      <c r="AA28" s="2">
        <f ca="1"/>
        <v>1</v>
      </c>
      <c r="AB28" s="2">
        <f t="shared" ca="1" si="5"/>
        <v>5</v>
      </c>
      <c r="AC28" s="2" cm="1">
        <f t="array" aca="1" ref="AC28" ca="1">SUMPRODUCT(J15:Q15,T28:AA28-1)/($Q$37*(AB28-1))</f>
        <v>0.1</v>
      </c>
    </row>
    <row r="29" spans="1:29" x14ac:dyDescent="0.25">
      <c r="A29" s="2">
        <v>27</v>
      </c>
      <c r="B29" s="2">
        <f t="shared" ca="1" si="4"/>
        <v>5</v>
      </c>
      <c r="C29" s="2">
        <f t="shared" ca="1" si="4"/>
        <v>3</v>
      </c>
      <c r="D29" s="2">
        <f t="shared" ca="1" si="4"/>
        <v>7</v>
      </c>
      <c r="E29" s="2">
        <f t="shared" ca="1" si="4"/>
        <v>3</v>
      </c>
      <c r="F29" s="2">
        <f t="shared" ca="1" si="4"/>
        <v>3</v>
      </c>
      <c r="I29" s="2">
        <v>27</v>
      </c>
      <c r="J29" s="2">
        <f t="shared" ca="1" si="3"/>
        <v>0</v>
      </c>
      <c r="K29" s="2">
        <f t="shared" ca="1" si="3"/>
        <v>0</v>
      </c>
      <c r="L29" s="2">
        <f t="shared" ca="1" si="3"/>
        <v>3</v>
      </c>
      <c r="M29" s="2">
        <f t="shared" ca="1" si="3"/>
        <v>0</v>
      </c>
      <c r="N29" s="2">
        <f t="shared" ca="1" si="3"/>
        <v>1</v>
      </c>
      <c r="O29" s="2">
        <f t="shared" ca="1" si="3"/>
        <v>0</v>
      </c>
      <c r="P29" s="2">
        <f t="shared" ca="1" si="3"/>
        <v>1</v>
      </c>
      <c r="Q29" s="2">
        <f t="shared" ca="1" si="3"/>
        <v>0</v>
      </c>
      <c r="S29" s="2">
        <v>14</v>
      </c>
      <c r="T29" s="2">
        <f ca="1"/>
        <v>1</v>
      </c>
      <c r="U29" s="2">
        <f ca="1"/>
        <v>1</v>
      </c>
      <c r="V29" s="2">
        <f ca="1"/>
        <v>1</v>
      </c>
      <c r="W29" s="2">
        <f ca="1"/>
        <v>1</v>
      </c>
      <c r="X29" s="2">
        <f ca="1"/>
        <v>1</v>
      </c>
      <c r="Y29" s="2">
        <f ca="1"/>
        <v>0</v>
      </c>
      <c r="Z29" s="2">
        <f ca="1"/>
        <v>0</v>
      </c>
      <c r="AA29" s="2">
        <f ca="1"/>
        <v>0</v>
      </c>
      <c r="AB29" s="2">
        <f t="shared" ca="1" si="5"/>
        <v>5</v>
      </c>
      <c r="AC29" s="2" cm="1">
        <f t="array" aca="1" ref="AC29" ca="1">SUMPRODUCT(J16:Q16,T29:AA29-1)/($Q$37*(AB29-1))</f>
        <v>0</v>
      </c>
    </row>
    <row r="30" spans="1:29" x14ac:dyDescent="0.25">
      <c r="A30" s="2">
        <v>28</v>
      </c>
      <c r="B30" s="2">
        <f t="shared" ca="1" si="4"/>
        <v>3</v>
      </c>
      <c r="C30" s="2">
        <f t="shared" ca="1" si="4"/>
        <v>7</v>
      </c>
      <c r="D30" s="2">
        <f t="shared" ca="1" si="4"/>
        <v>4</v>
      </c>
      <c r="E30" s="2">
        <f t="shared" ca="1" si="4"/>
        <v>3</v>
      </c>
      <c r="F30" s="2">
        <f t="shared" ca="1" si="4"/>
        <v>6</v>
      </c>
      <c r="I30" s="2">
        <v>28</v>
      </c>
      <c r="J30" s="2">
        <f t="shared" ca="1" si="3"/>
        <v>0</v>
      </c>
      <c r="K30" s="2">
        <f t="shared" ca="1" si="3"/>
        <v>0</v>
      </c>
      <c r="L30" s="2">
        <f t="shared" ca="1" si="3"/>
        <v>2</v>
      </c>
      <c r="M30" s="2">
        <f t="shared" ca="1" si="3"/>
        <v>1</v>
      </c>
      <c r="N30" s="2">
        <f t="shared" ca="1" si="3"/>
        <v>0</v>
      </c>
      <c r="O30" s="2">
        <f t="shared" ca="1" si="3"/>
        <v>1</v>
      </c>
      <c r="P30" s="2">
        <f t="shared" ca="1" si="3"/>
        <v>1</v>
      </c>
      <c r="Q30" s="2">
        <f t="shared" ca="1" si="3"/>
        <v>0</v>
      </c>
      <c r="S30" s="2">
        <v>15</v>
      </c>
      <c r="T30" s="2">
        <f ca="1"/>
        <v>0</v>
      </c>
      <c r="U30" s="2">
        <f ca="1"/>
        <v>1</v>
      </c>
      <c r="V30" s="2">
        <f ca="1"/>
        <v>1</v>
      </c>
      <c r="W30" s="2">
        <f ca="1"/>
        <v>2</v>
      </c>
      <c r="X30" s="2">
        <f ca="1"/>
        <v>0</v>
      </c>
      <c r="Y30" s="2">
        <f ca="1"/>
        <v>0</v>
      </c>
      <c r="Z30" s="2">
        <f ca="1"/>
        <v>1</v>
      </c>
      <c r="AA30" s="2">
        <f ca="1"/>
        <v>0</v>
      </c>
      <c r="AB30" s="2">
        <f t="shared" ca="1" si="5"/>
        <v>5</v>
      </c>
      <c r="AC30" s="2" cm="1">
        <f t="array" aca="1" ref="AC30" ca="1">SUMPRODUCT(J17:Q17,T30:AA30-1)/($Q$37*(AB30-1))</f>
        <v>0.1</v>
      </c>
    </row>
    <row r="31" spans="1:29" x14ac:dyDescent="0.25">
      <c r="A31" s="2">
        <v>29</v>
      </c>
      <c r="B31" s="2">
        <f t="shared" ca="1" si="4"/>
        <v>3</v>
      </c>
      <c r="C31" s="2">
        <f t="shared" ca="1" si="4"/>
        <v>7</v>
      </c>
      <c r="D31" s="2">
        <f t="shared" ca="1" si="4"/>
        <v>7</v>
      </c>
      <c r="E31" s="2">
        <f t="shared" ca="1" si="4"/>
        <v>7</v>
      </c>
      <c r="F31" s="2">
        <f t="shared" ca="1" si="4"/>
        <v>3</v>
      </c>
      <c r="I31" s="2">
        <v>29</v>
      </c>
      <c r="J31" s="2">
        <f t="shared" ca="1" si="3"/>
        <v>0</v>
      </c>
      <c r="K31" s="2">
        <f t="shared" ca="1" si="3"/>
        <v>0</v>
      </c>
      <c r="L31" s="2">
        <f t="shared" ca="1" si="3"/>
        <v>2</v>
      </c>
      <c r="M31" s="2">
        <f t="shared" ca="1" si="3"/>
        <v>0</v>
      </c>
      <c r="N31" s="2">
        <f t="shared" ca="1" si="3"/>
        <v>0</v>
      </c>
      <c r="O31" s="2">
        <f t="shared" ca="1" si="3"/>
        <v>0</v>
      </c>
      <c r="P31" s="2">
        <f t="shared" ca="1" si="3"/>
        <v>3</v>
      </c>
      <c r="Q31" s="2">
        <f t="shared" ca="1" si="3"/>
        <v>0</v>
      </c>
      <c r="S31" s="2">
        <v>16</v>
      </c>
      <c r="T31" s="2">
        <f ca="1"/>
        <v>0</v>
      </c>
      <c r="U31" s="2">
        <f ca="1"/>
        <v>0</v>
      </c>
      <c r="V31" s="2">
        <f ca="1"/>
        <v>0</v>
      </c>
      <c r="W31" s="2">
        <f ca="1"/>
        <v>2</v>
      </c>
      <c r="X31" s="2">
        <f ca="1"/>
        <v>1</v>
      </c>
      <c r="Y31" s="2">
        <f ca="1"/>
        <v>1</v>
      </c>
      <c r="Z31" s="2">
        <f ca="1"/>
        <v>1</v>
      </c>
      <c r="AA31" s="2">
        <f ca="1"/>
        <v>0</v>
      </c>
      <c r="AB31" s="2">
        <f t="shared" ca="1" si="5"/>
        <v>5</v>
      </c>
      <c r="AC31" s="2" cm="1">
        <f t="array" aca="1" ref="AC31" ca="1">SUMPRODUCT(J18:Q18,T31:AA31-1)/($Q$37*(AB31-1))</f>
        <v>0.1</v>
      </c>
    </row>
    <row r="32" spans="1:29" x14ac:dyDescent="0.25">
      <c r="A32" s="2">
        <v>30</v>
      </c>
      <c r="B32" s="2">
        <f t="shared" ca="1" si="4"/>
        <v>2</v>
      </c>
      <c r="C32" s="2">
        <f t="shared" ca="1" si="4"/>
        <v>6</v>
      </c>
      <c r="D32" s="2">
        <f t="shared" ca="1" si="4"/>
        <v>1</v>
      </c>
      <c r="E32" s="2">
        <f t="shared" ca="1" si="4"/>
        <v>7</v>
      </c>
      <c r="F32" s="2">
        <f t="shared" ca="1" si="4"/>
        <v>2</v>
      </c>
      <c r="I32" s="2">
        <v>30</v>
      </c>
      <c r="J32" s="2">
        <f t="shared" ca="1" si="3"/>
        <v>1</v>
      </c>
      <c r="K32" s="2">
        <f t="shared" ca="1" si="3"/>
        <v>2</v>
      </c>
      <c r="L32" s="2">
        <f t="shared" ca="1" si="3"/>
        <v>0</v>
      </c>
      <c r="M32" s="2">
        <f t="shared" ca="1" si="3"/>
        <v>0</v>
      </c>
      <c r="N32" s="2">
        <f t="shared" ca="1" si="3"/>
        <v>0</v>
      </c>
      <c r="O32" s="2">
        <f t="shared" ca="1" si="3"/>
        <v>1</v>
      </c>
      <c r="P32" s="2">
        <f t="shared" ca="1" si="3"/>
        <v>1</v>
      </c>
      <c r="Q32" s="2">
        <f t="shared" ca="1" si="3"/>
        <v>0</v>
      </c>
      <c r="S32" s="2">
        <v>17</v>
      </c>
      <c r="T32" s="2">
        <f ca="1"/>
        <v>0</v>
      </c>
      <c r="U32" s="2">
        <f ca="1"/>
        <v>0</v>
      </c>
      <c r="V32" s="2">
        <f ca="1"/>
        <v>2</v>
      </c>
      <c r="W32" s="2">
        <f ca="1"/>
        <v>0</v>
      </c>
      <c r="X32" s="2">
        <f ca="1"/>
        <v>0</v>
      </c>
      <c r="Y32" s="2">
        <f ca="1"/>
        <v>2</v>
      </c>
      <c r="Z32" s="2">
        <f ca="1"/>
        <v>0</v>
      </c>
      <c r="AA32" s="2">
        <f ca="1"/>
        <v>1</v>
      </c>
      <c r="AB32" s="2">
        <f t="shared" ca="1" si="5"/>
        <v>5</v>
      </c>
      <c r="AC32" s="2" cm="1">
        <f t="array" aca="1" ref="AC32" ca="1">SUMPRODUCT(J19:Q19,T32:AA32-1)/($Q$37*(AB32-1))</f>
        <v>0.2</v>
      </c>
    </row>
    <row r="33" spans="8:29" x14ac:dyDescent="0.25">
      <c r="I33" s="5" t="s">
        <v>30</v>
      </c>
      <c r="J33" s="2">
        <f ca="1">SUM(J3:J32)*$Q$38</f>
        <v>0.24000000000000002</v>
      </c>
      <c r="K33" s="2">
        <f t="shared" ref="K33:Q33" ca="1" si="6">SUM(K3:K32)*$Q$38</f>
        <v>8.666666666666667E-2</v>
      </c>
      <c r="L33" s="2">
        <f t="shared" ca="1" si="6"/>
        <v>0.16</v>
      </c>
      <c r="M33" s="2">
        <f t="shared" ca="1" si="6"/>
        <v>9.3333333333333338E-2</v>
      </c>
      <c r="N33" s="2">
        <f t="shared" ca="1" si="6"/>
        <v>9.3333333333333338E-2</v>
      </c>
      <c r="O33" s="2">
        <f t="shared" ca="1" si="6"/>
        <v>0.1</v>
      </c>
      <c r="P33" s="2">
        <f t="shared" ca="1" si="6"/>
        <v>0.11333333333333334</v>
      </c>
      <c r="Q33" s="2">
        <f t="shared" ca="1" si="6"/>
        <v>0.11333333333333334</v>
      </c>
      <c r="S33" s="2">
        <v>18</v>
      </c>
      <c r="T33" s="2">
        <f ca="1"/>
        <v>2</v>
      </c>
      <c r="U33" s="2">
        <f ca="1"/>
        <v>0</v>
      </c>
      <c r="V33" s="2">
        <f ca="1"/>
        <v>0</v>
      </c>
      <c r="W33" s="2">
        <f ca="1"/>
        <v>0</v>
      </c>
      <c r="X33" s="2">
        <f ca="1"/>
        <v>1</v>
      </c>
      <c r="Y33" s="2">
        <f ca="1"/>
        <v>0</v>
      </c>
      <c r="Z33" s="2">
        <f ca="1"/>
        <v>2</v>
      </c>
      <c r="AA33" s="2">
        <f ca="1"/>
        <v>0</v>
      </c>
      <c r="AB33" s="2">
        <f t="shared" ca="1" si="5"/>
        <v>5</v>
      </c>
      <c r="AC33" s="2" cm="1">
        <f t="array" aca="1" ref="AC33" ca="1">SUMPRODUCT(J20:Q20,T33:AA33-1)/($Q$37*(AB33-1))</f>
        <v>0.2</v>
      </c>
    </row>
    <row r="34" spans="8:29" x14ac:dyDescent="0.25">
      <c r="S34" s="2">
        <v>19</v>
      </c>
      <c r="T34" s="2">
        <f ca="1"/>
        <v>1</v>
      </c>
      <c r="U34" s="2">
        <f ca="1"/>
        <v>2</v>
      </c>
      <c r="V34" s="2">
        <f ca="1"/>
        <v>1</v>
      </c>
      <c r="W34" s="2">
        <f ca="1"/>
        <v>1</v>
      </c>
      <c r="X34" s="2">
        <f ca="1"/>
        <v>0</v>
      </c>
      <c r="Y34" s="2">
        <f ca="1"/>
        <v>0</v>
      </c>
      <c r="Z34" s="2">
        <f ca="1"/>
        <v>0</v>
      </c>
      <c r="AA34" s="2">
        <f ca="1"/>
        <v>0</v>
      </c>
      <c r="AB34" s="2">
        <f t="shared" ca="1" si="5"/>
        <v>5</v>
      </c>
      <c r="AC34" s="2" cm="1">
        <f t="array" aca="1" ref="AC34" ca="1">SUMPRODUCT(J21:Q21,T34:AA34-1)/($Q$37*(AB34-1))</f>
        <v>0.1</v>
      </c>
    </row>
    <row r="35" spans="8:29" x14ac:dyDescent="0.25">
      <c r="P35" s="2" t="s">
        <v>24</v>
      </c>
      <c r="Q35" s="2">
        <f>COUNT(S16:S45)</f>
        <v>30</v>
      </c>
      <c r="S35" s="2">
        <v>20</v>
      </c>
      <c r="T35" s="2">
        <f ca="1"/>
        <v>0</v>
      </c>
      <c r="U35" s="2">
        <f ca="1"/>
        <v>0</v>
      </c>
      <c r="V35" s="2">
        <f ca="1"/>
        <v>0</v>
      </c>
      <c r="W35" s="2">
        <f ca="1"/>
        <v>1</v>
      </c>
      <c r="X35" s="2">
        <f ca="1"/>
        <v>2</v>
      </c>
      <c r="Y35" s="2">
        <f ca="1"/>
        <v>2</v>
      </c>
      <c r="Z35" s="2">
        <f ca="1"/>
        <v>0</v>
      </c>
      <c r="AA35" s="2">
        <f ca="1"/>
        <v>0</v>
      </c>
      <c r="AB35" s="2">
        <f t="shared" ca="1" si="5"/>
        <v>5</v>
      </c>
      <c r="AC35" s="2" cm="1">
        <f t="array" aca="1" ref="AC35" ca="1">SUMPRODUCT(J22:Q22,T35:AA35-1)/($Q$37*(AB35-1))</f>
        <v>0.2</v>
      </c>
    </row>
    <row r="36" spans="8:29" x14ac:dyDescent="0.25">
      <c r="J36"/>
      <c r="P36" s="2" t="s">
        <v>25</v>
      </c>
      <c r="Q36" s="2">
        <v>8</v>
      </c>
      <c r="S36" s="2">
        <v>21</v>
      </c>
      <c r="T36" s="2">
        <f ca="1"/>
        <v>0</v>
      </c>
      <c r="U36" s="2">
        <f ca="1"/>
        <v>0</v>
      </c>
      <c r="V36" s="2">
        <f ca="1"/>
        <v>1</v>
      </c>
      <c r="W36" s="2">
        <f ca="1"/>
        <v>1</v>
      </c>
      <c r="X36" s="2">
        <f ca="1"/>
        <v>0</v>
      </c>
      <c r="Y36" s="2">
        <f ca="1"/>
        <v>1</v>
      </c>
      <c r="Z36" s="2">
        <f ca="1"/>
        <v>0</v>
      </c>
      <c r="AA36" s="2">
        <f ca="1"/>
        <v>2</v>
      </c>
      <c r="AB36" s="2">
        <f t="shared" ca="1" si="5"/>
        <v>5</v>
      </c>
      <c r="AC36" s="2" cm="1">
        <f t="array" aca="1" ref="AC36" ca="1">SUMPRODUCT(J23:Q23,T36:AA36-1)/($Q$37*(AB36-1))</f>
        <v>0.1</v>
      </c>
    </row>
    <row r="37" spans="8:29" x14ac:dyDescent="0.25">
      <c r="P37" s="2" t="s">
        <v>22</v>
      </c>
      <c r="Q37" s="2">
        <f ca="1">AVERAGE(AB16:AB45)</f>
        <v>5</v>
      </c>
      <c r="S37" s="2">
        <v>22</v>
      </c>
      <c r="T37" s="2">
        <f ca="1"/>
        <v>1</v>
      </c>
      <c r="U37" s="2">
        <f ca="1"/>
        <v>0</v>
      </c>
      <c r="V37" s="2">
        <f ca="1"/>
        <v>0</v>
      </c>
      <c r="W37" s="2">
        <f ca="1"/>
        <v>0</v>
      </c>
      <c r="X37" s="2">
        <f ca="1"/>
        <v>1</v>
      </c>
      <c r="Y37" s="2">
        <f ca="1"/>
        <v>0</v>
      </c>
      <c r="Z37" s="2">
        <f ca="1"/>
        <v>0</v>
      </c>
      <c r="AA37" s="2">
        <f ca="1"/>
        <v>3</v>
      </c>
      <c r="AB37" s="2">
        <f t="shared" ca="1" si="5"/>
        <v>5</v>
      </c>
      <c r="AC37" s="2" cm="1">
        <f t="array" aca="1" ref="AC37" ca="1">SUMPRODUCT(J24:Q24,T37:AA37-1)/($Q$37*(AB37-1))</f>
        <v>0.3</v>
      </c>
    </row>
    <row r="38" spans="8:29" x14ac:dyDescent="0.25">
      <c r="P38" s="2" t="s">
        <v>26</v>
      </c>
      <c r="Q38" s="2">
        <f ca="1">1/(Q35*Q37)</f>
        <v>6.6666666666666671E-3</v>
      </c>
      <c r="S38" s="2">
        <v>23</v>
      </c>
      <c r="T38" s="2">
        <f ca="1"/>
        <v>0</v>
      </c>
      <c r="U38" s="2">
        <f ca="1"/>
        <v>1</v>
      </c>
      <c r="V38" s="2">
        <f ca="1"/>
        <v>0</v>
      </c>
      <c r="W38" s="2">
        <f ca="1"/>
        <v>1</v>
      </c>
      <c r="X38" s="2">
        <f ca="1"/>
        <v>0</v>
      </c>
      <c r="Y38" s="2">
        <f ca="1"/>
        <v>0</v>
      </c>
      <c r="Z38" s="2">
        <f ca="1"/>
        <v>1</v>
      </c>
      <c r="AA38" s="2">
        <f ca="1"/>
        <v>2</v>
      </c>
      <c r="AB38" s="2">
        <f t="shared" ca="1" si="5"/>
        <v>5</v>
      </c>
      <c r="AC38" s="2" cm="1">
        <f t="array" aca="1" ref="AC38" ca="1">SUMPRODUCT(J25:Q25,T38:AA38-1)/($Q$37*(AB38-1))</f>
        <v>0.1</v>
      </c>
    </row>
    <row r="39" spans="8:29" x14ac:dyDescent="0.25">
      <c r="P39" s="2" t="s">
        <v>27</v>
      </c>
      <c r="Q39" s="2">
        <f ca="1">AVERAGE(AC16:AC45)*(1-Q38)+Q38</f>
        <v>0.30466666666666653</v>
      </c>
      <c r="S39" s="2">
        <v>24</v>
      </c>
      <c r="T39" s="2">
        <f ca="1"/>
        <v>1</v>
      </c>
      <c r="U39" s="2">
        <f ca="1"/>
        <v>0</v>
      </c>
      <c r="V39" s="2">
        <f ca="1"/>
        <v>0</v>
      </c>
      <c r="W39" s="2">
        <f ca="1"/>
        <v>0</v>
      </c>
      <c r="X39" s="2">
        <f ca="1"/>
        <v>0</v>
      </c>
      <c r="Y39" s="2">
        <f ca="1"/>
        <v>1</v>
      </c>
      <c r="Z39" s="2">
        <f ca="1"/>
        <v>0</v>
      </c>
      <c r="AA39" s="2">
        <f ca="1"/>
        <v>3</v>
      </c>
      <c r="AB39" s="2">
        <f t="shared" ca="1" si="5"/>
        <v>5</v>
      </c>
      <c r="AC39" s="2" cm="1">
        <f t="array" aca="1" ref="AC39" ca="1">SUMPRODUCT(J26:Q26,T39:AA39-1)/($Q$37*(AB39-1))</f>
        <v>0.3</v>
      </c>
    </row>
    <row r="40" spans="8:29" x14ac:dyDescent="0.25">
      <c r="P40" s="2" t="s">
        <v>28</v>
      </c>
      <c r="Q40" s="2" cm="1">
        <f t="array" aca="1" ref="Q40" ca="1">SUMPRODUCT(MMULT(TRANSPOSE(J33:Q33),J33:Q33),T3:AA10)</f>
        <v>0.14382222222222221</v>
      </c>
      <c r="S40" s="2">
        <v>25</v>
      </c>
      <c r="T40" s="2">
        <f ca="1"/>
        <v>0</v>
      </c>
      <c r="U40" s="2">
        <f ca="1"/>
        <v>1</v>
      </c>
      <c r="V40" s="2">
        <f ca="1"/>
        <v>3</v>
      </c>
      <c r="W40" s="2">
        <f ca="1"/>
        <v>1</v>
      </c>
      <c r="X40" s="2">
        <f ca="1"/>
        <v>0</v>
      </c>
      <c r="Y40" s="2">
        <f ca="1"/>
        <v>0</v>
      </c>
      <c r="Z40" s="2">
        <f ca="1"/>
        <v>0</v>
      </c>
      <c r="AA40" s="2">
        <f ca="1"/>
        <v>0</v>
      </c>
      <c r="AB40" s="2">
        <f t="shared" ca="1" si="5"/>
        <v>5</v>
      </c>
      <c r="AC40" s="2" cm="1">
        <f t="array" aca="1" ref="AC40" ca="1">SUMPRODUCT(J27:Q27,T40:AA40-1)/($Q$37*(AB40-1))</f>
        <v>0.3</v>
      </c>
    </row>
    <row r="41" spans="8:29" x14ac:dyDescent="0.25">
      <c r="P41" s="2" t="s">
        <v>29</v>
      </c>
      <c r="Q41" s="2">
        <f ca="1">(Q39-Q40)/(1-Q40)</f>
        <v>0.18786337209302309</v>
      </c>
      <c r="S41" s="2">
        <v>26</v>
      </c>
      <c r="T41" s="2">
        <f ca="1"/>
        <v>1</v>
      </c>
      <c r="U41" s="2">
        <f ca="1"/>
        <v>0</v>
      </c>
      <c r="V41" s="2">
        <f ca="1"/>
        <v>1</v>
      </c>
      <c r="W41" s="2">
        <f ca="1"/>
        <v>0</v>
      </c>
      <c r="X41" s="2">
        <f ca="1"/>
        <v>1</v>
      </c>
      <c r="Y41" s="2">
        <f ca="1"/>
        <v>0</v>
      </c>
      <c r="Z41" s="2">
        <f ca="1"/>
        <v>2</v>
      </c>
      <c r="AA41" s="2">
        <f ca="1"/>
        <v>0</v>
      </c>
      <c r="AB41" s="2">
        <f t="shared" ca="1" si="5"/>
        <v>5</v>
      </c>
      <c r="AC41" s="2" cm="1">
        <f t="array" aca="1" ref="AC41" ca="1">SUMPRODUCT(J28:Q28,T41:AA41-1)/($Q$37*(AB41-1))</f>
        <v>0.1</v>
      </c>
    </row>
    <row r="42" spans="8:29" x14ac:dyDescent="0.25">
      <c r="S42" s="2">
        <v>27</v>
      </c>
      <c r="T42" s="2">
        <f ca="1"/>
        <v>0</v>
      </c>
      <c r="U42" s="2">
        <f ca="1"/>
        <v>0</v>
      </c>
      <c r="V42" s="2">
        <f ca="1"/>
        <v>3</v>
      </c>
      <c r="W42" s="2">
        <f ca="1"/>
        <v>0</v>
      </c>
      <c r="X42" s="2">
        <f ca="1"/>
        <v>1</v>
      </c>
      <c r="Y42" s="2">
        <f ca="1"/>
        <v>0</v>
      </c>
      <c r="Z42" s="2">
        <f ca="1"/>
        <v>1</v>
      </c>
      <c r="AA42" s="2">
        <f ca="1"/>
        <v>0</v>
      </c>
      <c r="AB42" s="2">
        <f t="shared" ca="1" si="5"/>
        <v>5</v>
      </c>
      <c r="AC42" s="2" cm="1">
        <f t="array" aca="1" ref="AC42" ca="1">SUMPRODUCT(J29:Q29,T42:AA42-1)/($Q$37*(AB42-1))</f>
        <v>0.3</v>
      </c>
    </row>
    <row r="43" spans="8:29" x14ac:dyDescent="0.25">
      <c r="S43" s="2">
        <v>28</v>
      </c>
      <c r="T43" s="2">
        <f ca="1"/>
        <v>0</v>
      </c>
      <c r="U43" s="2">
        <f ca="1"/>
        <v>0</v>
      </c>
      <c r="V43" s="2">
        <f ca="1"/>
        <v>2</v>
      </c>
      <c r="W43" s="2">
        <f ca="1"/>
        <v>1</v>
      </c>
      <c r="X43" s="2">
        <f ca="1"/>
        <v>0</v>
      </c>
      <c r="Y43" s="2">
        <f ca="1"/>
        <v>1</v>
      </c>
      <c r="Z43" s="2">
        <f ca="1"/>
        <v>1</v>
      </c>
      <c r="AA43" s="2">
        <f ca="1"/>
        <v>0</v>
      </c>
      <c r="AB43" s="2">
        <f t="shared" ca="1" si="5"/>
        <v>5</v>
      </c>
      <c r="AC43" s="2" cm="1">
        <f t="array" aca="1" ref="AC43" ca="1">SUMPRODUCT(J30:Q30,T43:AA43-1)/($Q$37*(AB43-1))</f>
        <v>0.1</v>
      </c>
    </row>
    <row r="44" spans="8:29" x14ac:dyDescent="0.25">
      <c r="S44" s="2">
        <v>29</v>
      </c>
      <c r="T44" s="2">
        <f ca="1"/>
        <v>0</v>
      </c>
      <c r="U44" s="2">
        <f ca="1"/>
        <v>0</v>
      </c>
      <c r="V44" s="2">
        <f ca="1"/>
        <v>2</v>
      </c>
      <c r="W44" s="2">
        <f ca="1"/>
        <v>0</v>
      </c>
      <c r="X44" s="2">
        <f ca="1"/>
        <v>0</v>
      </c>
      <c r="Y44" s="2">
        <f ca="1"/>
        <v>0</v>
      </c>
      <c r="Z44" s="2">
        <f ca="1"/>
        <v>3</v>
      </c>
      <c r="AA44" s="2">
        <f ca="1"/>
        <v>0</v>
      </c>
      <c r="AB44" s="2">
        <f t="shared" ca="1" si="5"/>
        <v>5</v>
      </c>
      <c r="AC44" s="2" cm="1">
        <f t="array" aca="1" ref="AC44" ca="1">SUMPRODUCT(J31:Q31,T44:AA44-1)/($Q$37*(AB44-1))</f>
        <v>0.4</v>
      </c>
    </row>
    <row r="45" spans="8:29" x14ac:dyDescent="0.25">
      <c r="H45"/>
      <c r="S45" s="2">
        <v>30</v>
      </c>
      <c r="T45" s="2">
        <f ca="1"/>
        <v>1</v>
      </c>
      <c r="U45" s="2">
        <f ca="1"/>
        <v>2</v>
      </c>
      <c r="V45" s="2">
        <f ca="1"/>
        <v>0</v>
      </c>
      <c r="W45" s="2">
        <f ca="1"/>
        <v>0</v>
      </c>
      <c r="X45" s="2">
        <f ca="1"/>
        <v>0</v>
      </c>
      <c r="Y45" s="2">
        <f ca="1"/>
        <v>1</v>
      </c>
      <c r="Z45" s="2">
        <f ca="1"/>
        <v>1</v>
      </c>
      <c r="AA45" s="2">
        <f ca="1"/>
        <v>0</v>
      </c>
      <c r="AB45" s="2">
        <f t="shared" ca="1" si="5"/>
        <v>5</v>
      </c>
      <c r="AC45" s="2" cm="1">
        <f t="array" aca="1" ref="AC45" ca="1">SUMPRODUCT(J32:Q32,T45:AA45-1)/($Q$37*(AB45-1))</f>
        <v>0.1</v>
      </c>
    </row>
  </sheetData>
  <mergeCells count="4">
    <mergeCell ref="B1:G1"/>
    <mergeCell ref="I1:Q1"/>
    <mergeCell ref="S1:AA1"/>
    <mergeCell ref="S14:AA14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Arousal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Sztahó Dávid</dc:creator>
  <cp:lastModifiedBy>Sztahó Dávid</cp:lastModifiedBy>
  <dcterms:created xsi:type="dcterms:W3CDTF">2023-11-09T16:18:39Z</dcterms:created>
  <dcterms:modified xsi:type="dcterms:W3CDTF">2023-11-12T20:51:21Z</dcterms:modified>
</cp:coreProperties>
</file>