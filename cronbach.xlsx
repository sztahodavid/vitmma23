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me\oktatás\Emotion_recognition-main\"/>
    </mc:Choice>
  </mc:AlternateContent>
  <xr:revisionPtr revIDLastSave="0" documentId="13_ncr:1_{50A22E18-3864-452B-8E46-DAB7975AC15E}" xr6:coauthVersionLast="47" xr6:coauthVersionMax="47" xr10:uidLastSave="{00000000-0000-0000-0000-000000000000}"/>
  <bookViews>
    <workbookView xWindow="-120" yWindow="-120" windowWidth="29040" windowHeight="15840" activeTab="1" xr2:uid="{3C1B4D09-F3C1-41AD-8133-CB8C2C9EE4A9}"/>
  </bookViews>
  <sheets>
    <sheet name="Sample" sheetId="1" r:id="rId1"/>
    <sheet name="Arousal 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7" i="2"/>
  <c r="C2" i="2"/>
  <c r="D2" i="2"/>
  <c r="E2" i="2"/>
  <c r="F2" i="2"/>
  <c r="C3" i="2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J35" i="1"/>
  <c r="J32" i="1"/>
  <c r="J31" i="1"/>
  <c r="C33" i="1"/>
  <c r="D33" i="1"/>
  <c r="E33" i="1"/>
  <c r="F33" i="1"/>
  <c r="B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3" i="2" l="1"/>
  <c r="D33" i="2"/>
  <c r="E33" i="2"/>
  <c r="G24" i="2"/>
  <c r="G16" i="2"/>
  <c r="G8" i="2"/>
  <c r="G18" i="2"/>
  <c r="G4" i="2"/>
  <c r="G19" i="2"/>
  <c r="G3" i="2"/>
  <c r="G26" i="2"/>
  <c r="G10" i="2"/>
  <c r="G9" i="2"/>
  <c r="G22" i="2"/>
  <c r="G29" i="2"/>
  <c r="G25" i="2"/>
  <c r="G12" i="2"/>
  <c r="G20" i="2"/>
  <c r="G14" i="2"/>
  <c r="G6" i="2"/>
  <c r="G30" i="2"/>
  <c r="G27" i="2"/>
  <c r="G17" i="2"/>
  <c r="G13" i="2"/>
  <c r="G5" i="2"/>
  <c r="G21" i="2"/>
  <c r="G23" i="2"/>
  <c r="G15" i="2"/>
  <c r="G11" i="2"/>
  <c r="G7" i="2"/>
  <c r="G2" i="2"/>
  <c r="G28" i="2"/>
  <c r="G31" i="2"/>
  <c r="C33" i="2"/>
  <c r="B33" i="2"/>
  <c r="J31" i="2" l="1"/>
  <c r="J32" i="2"/>
  <c r="J35" i="2" l="1"/>
</calcChain>
</file>

<file path=xl/sharedStrings.xml><?xml version="1.0" encoding="utf-8"?>
<sst xmlns="http://schemas.openxmlformats.org/spreadsheetml/2006/main" count="22" uniqueCount="16">
  <si>
    <t xml:space="preserve">ID </t>
  </si>
  <si>
    <t>Question 1</t>
  </si>
  <si>
    <t>Question 2</t>
  </si>
  <si>
    <t>Question 3</t>
  </si>
  <si>
    <t>Question 4</t>
  </si>
  <si>
    <t>Question 5</t>
  </si>
  <si>
    <t>Total Score</t>
  </si>
  <si>
    <t>Variances:</t>
  </si>
  <si>
    <t>Variance for total scores:</t>
  </si>
  <si>
    <t>Sum of variances:</t>
  </si>
  <si>
    <r>
      <rPr>
        <sz val="12"/>
        <color theme="1"/>
        <rFont val="Calibri"/>
        <family val="2"/>
        <charset val="238"/>
      </rPr>
      <t>α</t>
    </r>
    <r>
      <rPr>
        <sz val="12"/>
        <color theme="1"/>
        <rFont val="Calibri Light"/>
        <family val="2"/>
        <charset val="238"/>
      </rPr>
      <t>=</t>
    </r>
  </si>
  <si>
    <t>Listener 1</t>
  </si>
  <si>
    <t>Listener 2</t>
  </si>
  <si>
    <t>Listener 3</t>
  </si>
  <si>
    <t>Listener 4</t>
  </si>
  <si>
    <t>Listener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</si>
</sst>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 Light"/>
      <family val="2"/>
      <charset val="238"/>
      <scheme val="major"/>
    </font>
    <font>
      <sz val="12"/>
      <color theme="1"/>
      <name val="Calibri Light"/>
      <family val="2"/>
      <charset val="238"/>
      <scheme val="major"/>
    </font>
    <font>
      <sz val="12"/>
      <color theme="1"/>
      <name val="Calibri"/>
      <family val="2"/>
      <charset val="238"/>
    </font>
    <font>
      <sz val="12"/>
      <color theme="1"/>
      <name val="Calibri Light"/>
      <family val="2"/>
      <charset val="238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31</xdr:row>
      <xdr:rowOff>171450</xdr:rowOff>
    </xdr:from>
    <xdr:to>
      <xdr:col>17</xdr:col>
      <xdr:colOff>533401</xdr:colOff>
      <xdr:row>36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13671-9573-7B3A-118C-9B1622AFF8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" t="27105" r="7157" b="33130"/>
        <a:stretch/>
      </xdr:blipFill>
      <xdr:spPr bwMode="auto">
        <a:xfrm>
          <a:off x="10201275" y="6372225"/>
          <a:ext cx="4314826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31</xdr:row>
      <xdr:rowOff>171450</xdr:rowOff>
    </xdr:from>
    <xdr:to>
      <xdr:col>17</xdr:col>
      <xdr:colOff>180976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C3255-A4E8-433C-A97B-8AA7168C14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" t="27105" r="7157" b="33130"/>
        <a:stretch/>
      </xdr:blipFill>
      <xdr:spPr bwMode="auto">
        <a:xfrm>
          <a:off x="10201275" y="6372225"/>
          <a:ext cx="4314826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DF40-C842-464F-96E9-FBD553BB8DBE}">
  <dimension ref="A1:M35"/>
  <sheetViews>
    <sheetView workbookViewId="0">
      <selection sqref="A1:XFD1048576"/>
    </sheetView>
  </sheetViews>
  <sheetFormatPr defaultRowHeight="15.75" x14ac:dyDescent="0.25"/>
  <cols>
    <col min="1" max="1" width="10.140625" style="2" bestFit="1" customWidth="1"/>
    <col min="2" max="6" width="15" style="2" bestFit="1" customWidth="1"/>
    <col min="7" max="7" width="13.85546875" style="2" customWidth="1"/>
    <col min="8" max="8" width="9.140625" style="2"/>
    <col min="9" max="9" width="28.42578125" style="2" customWidth="1"/>
    <col min="10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f>SUM(B2:F2)</f>
        <v>25</v>
      </c>
    </row>
    <row r="3" spans="1:7" x14ac:dyDescent="0.25">
      <c r="A3" s="2">
        <v>2</v>
      </c>
      <c r="B3" s="2">
        <v>4</v>
      </c>
      <c r="C3" s="2">
        <v>4</v>
      </c>
      <c r="D3" s="2">
        <v>5</v>
      </c>
      <c r="E3" s="2">
        <v>4</v>
      </c>
      <c r="F3" s="2">
        <v>5</v>
      </c>
      <c r="G3" s="2">
        <f t="shared" ref="G3:G31" si="0">SUM(B3:F3)</f>
        <v>22</v>
      </c>
    </row>
    <row r="4" spans="1:7" x14ac:dyDescent="0.25">
      <c r="A4" s="2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f t="shared" si="0"/>
        <v>25</v>
      </c>
    </row>
    <row r="5" spans="1:7" x14ac:dyDescent="0.25">
      <c r="A5" s="2">
        <v>4</v>
      </c>
      <c r="B5" s="2">
        <v>4</v>
      </c>
      <c r="C5" s="2">
        <v>4</v>
      </c>
      <c r="D5" s="2">
        <v>4</v>
      </c>
      <c r="E5" s="2">
        <v>5</v>
      </c>
      <c r="F5" s="2">
        <v>5</v>
      </c>
      <c r="G5" s="2">
        <f t="shared" si="0"/>
        <v>22</v>
      </c>
    </row>
    <row r="6" spans="1:7" x14ac:dyDescent="0.25">
      <c r="A6" s="2">
        <v>5</v>
      </c>
      <c r="B6" s="2">
        <v>4</v>
      </c>
      <c r="C6" s="2">
        <v>4</v>
      </c>
      <c r="D6" s="2">
        <v>5</v>
      </c>
      <c r="E6" s="2">
        <v>5</v>
      </c>
      <c r="F6" s="2">
        <v>5</v>
      </c>
      <c r="G6" s="2">
        <f t="shared" si="0"/>
        <v>23</v>
      </c>
    </row>
    <row r="7" spans="1:7" x14ac:dyDescent="0.25">
      <c r="A7" s="2">
        <v>6</v>
      </c>
      <c r="B7" s="2">
        <v>4</v>
      </c>
      <c r="C7" s="2">
        <v>4</v>
      </c>
      <c r="D7" s="2">
        <v>5</v>
      </c>
      <c r="E7" s="2">
        <v>5</v>
      </c>
      <c r="F7" s="2">
        <v>5</v>
      </c>
      <c r="G7" s="2">
        <f t="shared" si="0"/>
        <v>23</v>
      </c>
    </row>
    <row r="8" spans="1:7" x14ac:dyDescent="0.25">
      <c r="A8" s="2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f t="shared" si="0"/>
        <v>25</v>
      </c>
    </row>
    <row r="9" spans="1:7" x14ac:dyDescent="0.25">
      <c r="A9" s="2">
        <v>8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f t="shared" si="0"/>
        <v>20</v>
      </c>
    </row>
    <row r="10" spans="1:7" x14ac:dyDescent="0.25">
      <c r="A10" s="2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f t="shared" si="0"/>
        <v>25</v>
      </c>
    </row>
    <row r="11" spans="1:7" x14ac:dyDescent="0.25">
      <c r="A11" s="2">
        <v>10</v>
      </c>
      <c r="B11" s="2">
        <v>4</v>
      </c>
      <c r="C11" s="2">
        <v>5</v>
      </c>
      <c r="D11" s="2">
        <v>5</v>
      </c>
      <c r="E11" s="2">
        <v>4</v>
      </c>
      <c r="F11" s="2">
        <v>4</v>
      </c>
      <c r="G11" s="2">
        <f t="shared" si="0"/>
        <v>22</v>
      </c>
    </row>
    <row r="12" spans="1:7" x14ac:dyDescent="0.25">
      <c r="A12" s="2">
        <v>11</v>
      </c>
      <c r="B12" s="2">
        <v>5</v>
      </c>
      <c r="C12" s="2">
        <v>5</v>
      </c>
      <c r="D12" s="2">
        <v>5</v>
      </c>
      <c r="E12" s="2">
        <v>4</v>
      </c>
      <c r="F12" s="2">
        <v>4</v>
      </c>
      <c r="G12" s="2">
        <f t="shared" si="0"/>
        <v>23</v>
      </c>
    </row>
    <row r="13" spans="1:7" x14ac:dyDescent="0.25">
      <c r="A13" s="2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f t="shared" si="0"/>
        <v>25</v>
      </c>
    </row>
    <row r="14" spans="1:7" x14ac:dyDescent="0.25">
      <c r="A14" s="2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f t="shared" si="0"/>
        <v>25</v>
      </c>
    </row>
    <row r="15" spans="1:7" x14ac:dyDescent="0.25">
      <c r="A15" s="2">
        <v>14</v>
      </c>
      <c r="B15" s="2">
        <v>5</v>
      </c>
      <c r="C15" s="2">
        <v>5</v>
      </c>
      <c r="D15" s="2">
        <v>5</v>
      </c>
      <c r="E15" s="2">
        <v>4</v>
      </c>
      <c r="F15" s="2">
        <v>5</v>
      </c>
      <c r="G15" s="2">
        <f t="shared" si="0"/>
        <v>24</v>
      </c>
    </row>
    <row r="16" spans="1:7" x14ac:dyDescent="0.25">
      <c r="A16" s="2">
        <v>15</v>
      </c>
      <c r="B16" s="2">
        <v>4</v>
      </c>
      <c r="C16" s="2">
        <v>4</v>
      </c>
      <c r="D16" s="2">
        <v>4</v>
      </c>
      <c r="E16" s="2">
        <v>4</v>
      </c>
      <c r="F16" s="2">
        <v>4</v>
      </c>
      <c r="G16" s="2">
        <f t="shared" si="0"/>
        <v>20</v>
      </c>
    </row>
    <row r="17" spans="1:13" x14ac:dyDescent="0.25">
      <c r="A17" s="2">
        <v>16</v>
      </c>
      <c r="B17" s="2">
        <v>5</v>
      </c>
      <c r="C17" s="2">
        <v>4</v>
      </c>
      <c r="D17" s="2">
        <v>4</v>
      </c>
      <c r="E17" s="2">
        <v>4</v>
      </c>
      <c r="F17" s="2">
        <v>4</v>
      </c>
      <c r="G17" s="2">
        <f t="shared" si="0"/>
        <v>21</v>
      </c>
    </row>
    <row r="18" spans="1:13" x14ac:dyDescent="0.25">
      <c r="A18" s="2">
        <v>17</v>
      </c>
      <c r="B18" s="2">
        <v>3</v>
      </c>
      <c r="C18" s="2">
        <v>4</v>
      </c>
      <c r="D18" s="2">
        <v>5</v>
      </c>
      <c r="E18" s="2">
        <v>4</v>
      </c>
      <c r="F18" s="2">
        <v>3</v>
      </c>
      <c r="G18" s="2">
        <f t="shared" si="0"/>
        <v>19</v>
      </c>
    </row>
    <row r="19" spans="1:13" x14ac:dyDescent="0.25">
      <c r="A19" s="2">
        <v>18</v>
      </c>
      <c r="B19" s="2">
        <v>4</v>
      </c>
      <c r="C19" s="2">
        <v>3</v>
      </c>
      <c r="D19" s="2">
        <v>3</v>
      </c>
      <c r="E19" s="2">
        <v>3</v>
      </c>
      <c r="F19" s="2">
        <v>3</v>
      </c>
      <c r="G19" s="2">
        <f t="shared" si="0"/>
        <v>16</v>
      </c>
    </row>
    <row r="20" spans="1:13" x14ac:dyDescent="0.25">
      <c r="A20" s="2">
        <v>19</v>
      </c>
      <c r="B20" s="2">
        <v>4</v>
      </c>
      <c r="C20" s="2">
        <v>4</v>
      </c>
      <c r="D20" s="2">
        <v>3</v>
      </c>
      <c r="E20" s="2">
        <v>5</v>
      </c>
      <c r="F20" s="2">
        <v>5</v>
      </c>
      <c r="G20" s="2">
        <f t="shared" si="0"/>
        <v>21</v>
      </c>
    </row>
    <row r="21" spans="1:13" x14ac:dyDescent="0.25">
      <c r="A21" s="2">
        <v>20</v>
      </c>
      <c r="B21" s="2">
        <v>5</v>
      </c>
      <c r="C21" s="2">
        <v>5</v>
      </c>
      <c r="D21" s="2">
        <v>4</v>
      </c>
      <c r="E21" s="2">
        <v>5</v>
      </c>
      <c r="F21" s="2">
        <v>5</v>
      </c>
      <c r="G21" s="2">
        <f t="shared" si="0"/>
        <v>24</v>
      </c>
    </row>
    <row r="22" spans="1:13" x14ac:dyDescent="0.25">
      <c r="A22" s="2">
        <v>21</v>
      </c>
      <c r="B22" s="2">
        <v>5</v>
      </c>
      <c r="C22" s="2">
        <v>5</v>
      </c>
      <c r="D22" s="2">
        <v>4</v>
      </c>
      <c r="E22" s="2">
        <v>3</v>
      </c>
      <c r="F22" s="2">
        <v>4</v>
      </c>
      <c r="G22" s="2">
        <f t="shared" si="0"/>
        <v>21</v>
      </c>
    </row>
    <row r="23" spans="1:13" x14ac:dyDescent="0.25">
      <c r="A23" s="2">
        <v>22</v>
      </c>
      <c r="B23" s="2">
        <v>3</v>
      </c>
      <c r="C23" s="2">
        <v>5</v>
      </c>
      <c r="D23" s="2">
        <v>5</v>
      </c>
      <c r="E23" s="2">
        <v>5</v>
      </c>
      <c r="F23" s="2">
        <v>4</v>
      </c>
      <c r="G23" s="2">
        <f t="shared" si="0"/>
        <v>22</v>
      </c>
    </row>
    <row r="24" spans="1:13" x14ac:dyDescent="0.25">
      <c r="A24" s="2">
        <v>23</v>
      </c>
      <c r="B24" s="2">
        <v>3</v>
      </c>
      <c r="C24" s="2">
        <v>4</v>
      </c>
      <c r="D24" s="2">
        <v>5</v>
      </c>
      <c r="E24" s="2">
        <v>5</v>
      </c>
      <c r="F24" s="2">
        <v>5</v>
      </c>
      <c r="G24" s="2">
        <f t="shared" si="0"/>
        <v>22</v>
      </c>
    </row>
    <row r="25" spans="1:13" x14ac:dyDescent="0.25">
      <c r="A25" s="2">
        <v>24</v>
      </c>
      <c r="B25" s="2">
        <v>3</v>
      </c>
      <c r="C25" s="2">
        <v>4</v>
      </c>
      <c r="D25" s="2">
        <v>5</v>
      </c>
      <c r="E25" s="2">
        <v>4</v>
      </c>
      <c r="F25" s="2">
        <v>5</v>
      </c>
      <c r="G25" s="2">
        <f t="shared" si="0"/>
        <v>21</v>
      </c>
    </row>
    <row r="26" spans="1:13" x14ac:dyDescent="0.25">
      <c r="A26" s="2">
        <v>25</v>
      </c>
      <c r="B26" s="2">
        <v>4</v>
      </c>
      <c r="C26" s="2">
        <v>5</v>
      </c>
      <c r="D26" s="2">
        <v>5</v>
      </c>
      <c r="E26" s="2">
        <v>4</v>
      </c>
      <c r="F26" s="2">
        <v>5</v>
      </c>
      <c r="G26" s="2">
        <f t="shared" si="0"/>
        <v>23</v>
      </c>
    </row>
    <row r="27" spans="1:13" x14ac:dyDescent="0.25">
      <c r="A27" s="2">
        <v>26</v>
      </c>
      <c r="B27" s="2">
        <v>5</v>
      </c>
      <c r="C27" s="2">
        <v>4</v>
      </c>
      <c r="D27" s="2">
        <v>4</v>
      </c>
      <c r="E27" s="2">
        <v>4</v>
      </c>
      <c r="F27" s="2">
        <v>4</v>
      </c>
      <c r="G27" s="2">
        <f t="shared" si="0"/>
        <v>21</v>
      </c>
    </row>
    <row r="28" spans="1:13" x14ac:dyDescent="0.25">
      <c r="A28" s="2">
        <v>27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f t="shared" si="0"/>
        <v>20</v>
      </c>
      <c r="M28"/>
    </row>
    <row r="29" spans="1:13" x14ac:dyDescent="0.25">
      <c r="A29" s="2">
        <v>28</v>
      </c>
      <c r="B29" s="2">
        <v>5</v>
      </c>
      <c r="C29" s="2">
        <v>4</v>
      </c>
      <c r="D29" s="2">
        <v>5</v>
      </c>
      <c r="E29" s="2">
        <v>5</v>
      </c>
      <c r="F29" s="2">
        <v>5</v>
      </c>
      <c r="G29" s="2">
        <f t="shared" si="0"/>
        <v>24</v>
      </c>
    </row>
    <row r="30" spans="1:13" x14ac:dyDescent="0.25">
      <c r="A30" s="2">
        <v>29</v>
      </c>
      <c r="B30" s="2">
        <v>4</v>
      </c>
      <c r="C30" s="2">
        <v>5</v>
      </c>
      <c r="D30" s="2">
        <v>5</v>
      </c>
      <c r="E30" s="2">
        <v>5</v>
      </c>
      <c r="F30" s="2">
        <v>5</v>
      </c>
      <c r="G30" s="2">
        <f t="shared" si="0"/>
        <v>24</v>
      </c>
    </row>
    <row r="31" spans="1:13" x14ac:dyDescent="0.25">
      <c r="A31" s="2">
        <v>30</v>
      </c>
      <c r="B31" s="2">
        <v>5</v>
      </c>
      <c r="C31" s="2">
        <v>5</v>
      </c>
      <c r="D31" s="2">
        <v>5</v>
      </c>
      <c r="E31" s="2">
        <v>5</v>
      </c>
      <c r="F31" s="2">
        <v>4</v>
      </c>
      <c r="G31" s="2">
        <f t="shared" si="0"/>
        <v>24</v>
      </c>
      <c r="I31" s="2" t="s">
        <v>8</v>
      </c>
      <c r="J31" s="2">
        <f>_xlfn.VAR.S(G2:G31)</f>
        <v>4.66206896551724</v>
      </c>
    </row>
    <row r="32" spans="1:13" x14ac:dyDescent="0.25">
      <c r="I32" s="2" t="s">
        <v>9</v>
      </c>
      <c r="J32" s="2">
        <f>SUM(B33:F33)</f>
        <v>2.0091954022988538</v>
      </c>
    </row>
    <row r="33" spans="1:10" x14ac:dyDescent="0.25">
      <c r="A33" s="2" t="s">
        <v>7</v>
      </c>
      <c r="B33" s="2">
        <f>_xlfn.VAR.S(B2:B31)</f>
        <v>0.50574712643678033</v>
      </c>
      <c r="C33" s="2">
        <f t="shared" ref="C33:F33" si="1">_xlfn.VAR.S(C2:C31)</f>
        <v>0.32643678160919642</v>
      </c>
      <c r="D33" s="2">
        <f t="shared" si="1"/>
        <v>0.38620689655172569</v>
      </c>
      <c r="E33" s="2">
        <f t="shared" si="1"/>
        <v>0.39540229885057576</v>
      </c>
      <c r="F33" s="2">
        <f t="shared" si="1"/>
        <v>0.39540229885057576</v>
      </c>
    </row>
    <row r="35" spans="1:10" x14ac:dyDescent="0.25">
      <c r="I35" s="3" t="s">
        <v>10</v>
      </c>
      <c r="J35" s="2">
        <f>(5/4)*((J31-J32)/J31)</f>
        <v>0.71129191321498908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B3EE-9BE3-4AED-BF8E-EC7BA7891610}">
  <dimension ref="A1:M35"/>
  <sheetViews>
    <sheetView tabSelected="1" workbookViewId="0">
      <selection activeCell="F26" sqref="F26"/>
    </sheetView>
  </sheetViews>
  <sheetFormatPr defaultRowHeight="15.75" x14ac:dyDescent="0.25"/>
  <cols>
    <col min="1" max="1" width="10.140625" style="2" bestFit="1" customWidth="1"/>
    <col min="2" max="6" width="15" style="2" bestFit="1" customWidth="1"/>
    <col min="7" max="7" width="13.85546875" style="2" customWidth="1"/>
    <col min="8" max="8" width="9.140625" style="2"/>
    <col min="9" max="9" width="28.42578125" style="2" customWidth="1"/>
    <col min="10" max="11" width="9.140625" style="2"/>
    <col min="12" max="12" width="14.42578125" style="2" bestFit="1" customWidth="1"/>
    <col min="13" max="16384" width="9.140625" style="2"/>
  </cols>
  <sheetData>
    <row r="1" spans="1:7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6</v>
      </c>
    </row>
    <row r="2" spans="1:7" x14ac:dyDescent="0.25">
      <c r="A2" s="2">
        <v>1</v>
      </c>
      <c r="B2" s="2">
        <f ca="1">RAND()*(1-0.9)+0.9</f>
        <v>0.94954848092035493</v>
      </c>
      <c r="C2" s="2">
        <f t="shared" ref="C2:F2" ca="1" si="0">RAND()*(1-0.9)+0.9</f>
        <v>0.94899258622110283</v>
      </c>
      <c r="D2" s="2">
        <f t="shared" ca="1" si="0"/>
        <v>0.90865016977396706</v>
      </c>
      <c r="E2" s="2">
        <f t="shared" ca="1" si="0"/>
        <v>0.91236310541116061</v>
      </c>
      <c r="F2" s="2">
        <f t="shared" ca="1" si="0"/>
        <v>0.98505208019462365</v>
      </c>
      <c r="G2" s="2">
        <f ca="1">SUM(B2:F2)</f>
        <v>4.7046064225212092</v>
      </c>
    </row>
    <row r="3" spans="1:7" x14ac:dyDescent="0.25">
      <c r="A3" s="2">
        <v>2</v>
      </c>
      <c r="B3" s="2">
        <f t="shared" ref="B3:F31" ca="1" si="1">RAND()*(1-0.9)+0.9</f>
        <v>0.96662247778315313</v>
      </c>
      <c r="C3" s="2">
        <f t="shared" ca="1" si="1"/>
        <v>0.98729164093551969</v>
      </c>
      <c r="D3" s="2">
        <f t="shared" ca="1" si="1"/>
        <v>0.97071476081503649</v>
      </c>
      <c r="E3" s="2">
        <f t="shared" ca="1" si="1"/>
        <v>0.95216150112619136</v>
      </c>
      <c r="F3" s="2">
        <f t="shared" ca="1" si="1"/>
        <v>0.95011715398978669</v>
      </c>
      <c r="G3" s="2">
        <f ca="1">SUM(B3:F3)</f>
        <v>4.8269075346496875</v>
      </c>
    </row>
    <row r="4" spans="1:7" x14ac:dyDescent="0.25">
      <c r="A4" s="2">
        <v>3</v>
      </c>
      <c r="B4" s="2">
        <f t="shared" ca="1" si="1"/>
        <v>0.9359574169220829</v>
      </c>
      <c r="C4" s="2">
        <f t="shared" ca="1" si="1"/>
        <v>0.99468795606293703</v>
      </c>
      <c r="D4" s="2">
        <f t="shared" ca="1" si="1"/>
        <v>0.94818045670319262</v>
      </c>
      <c r="E4" s="2">
        <f t="shared" ca="1" si="1"/>
        <v>0.9950802250681644</v>
      </c>
      <c r="F4" s="2">
        <f t="shared" ca="1" si="1"/>
        <v>0.98935740323513988</v>
      </c>
      <c r="G4" s="2">
        <f ca="1">SUM(B4:F4)</f>
        <v>4.8632634579915166</v>
      </c>
    </row>
    <row r="5" spans="1:7" x14ac:dyDescent="0.25">
      <c r="A5" s="2">
        <v>4</v>
      </c>
      <c r="B5" s="2">
        <f t="shared" ca="1" si="1"/>
        <v>0.97333111790190241</v>
      </c>
      <c r="C5" s="2">
        <f t="shared" ca="1" si="1"/>
        <v>0.9144369349378233</v>
      </c>
      <c r="D5" s="2">
        <f t="shared" ca="1" si="1"/>
        <v>0.94923815172134274</v>
      </c>
      <c r="E5" s="2">
        <f t="shared" ca="1" si="1"/>
        <v>0.96822913187335413</v>
      </c>
      <c r="F5" s="2">
        <f t="shared" ca="1" si="1"/>
        <v>0.98838710481547731</v>
      </c>
      <c r="G5" s="2">
        <f ca="1">SUM(B5:F5)</f>
        <v>4.7936224412498998</v>
      </c>
    </row>
    <row r="6" spans="1:7" x14ac:dyDescent="0.25">
      <c r="A6" s="2">
        <v>5</v>
      </c>
      <c r="B6" s="2">
        <f t="shared" ca="1" si="1"/>
        <v>0.97148996579446634</v>
      </c>
      <c r="C6" s="2">
        <f t="shared" ca="1" si="1"/>
        <v>0.99408078816339818</v>
      </c>
      <c r="D6" s="2">
        <f t="shared" ca="1" si="1"/>
        <v>0.94369203517990863</v>
      </c>
      <c r="E6" s="2">
        <f t="shared" ca="1" si="1"/>
        <v>0.95649830798701208</v>
      </c>
      <c r="F6" s="2">
        <f t="shared" ca="1" si="1"/>
        <v>0.90446209866009619</v>
      </c>
      <c r="G6" s="2">
        <f ca="1">SUM(B6:F6)</f>
        <v>4.7702231957848813</v>
      </c>
    </row>
    <row r="7" spans="1:7" x14ac:dyDescent="0.25">
      <c r="A7" s="2">
        <v>6</v>
      </c>
      <c r="B7" s="2">
        <f t="shared" ca="1" si="1"/>
        <v>0.95422978883948051</v>
      </c>
      <c r="C7" s="2">
        <f t="shared" ca="1" si="1"/>
        <v>0.98060647711686255</v>
      </c>
      <c r="D7" s="2">
        <f t="shared" ca="1" si="1"/>
        <v>0.95227047010977484</v>
      </c>
      <c r="E7" s="2">
        <f t="shared" ca="1" si="1"/>
        <v>0.92305592713903173</v>
      </c>
      <c r="F7" s="2">
        <f t="shared" ca="1" si="1"/>
        <v>0.94217427624121386</v>
      </c>
      <c r="G7" s="2">
        <f ca="1">SUM(B7:F7)</f>
        <v>4.752336939446363</v>
      </c>
    </row>
    <row r="8" spans="1:7" x14ac:dyDescent="0.25">
      <c r="A8" s="2">
        <v>7</v>
      </c>
      <c r="B8" s="2">
        <f t="shared" ca="1" si="1"/>
        <v>0.94802597909923025</v>
      </c>
      <c r="C8" s="2">
        <f t="shared" ca="1" si="1"/>
        <v>0.98950491701803434</v>
      </c>
      <c r="D8" s="2">
        <f t="shared" ca="1" si="1"/>
        <v>0.94317882654634266</v>
      </c>
      <c r="E8" s="2">
        <f t="shared" ca="1" si="1"/>
        <v>0.95288670623089744</v>
      </c>
      <c r="F8" s="2">
        <f t="shared" ca="1" si="1"/>
        <v>0.99974329764487047</v>
      </c>
      <c r="G8" s="2">
        <f ca="1">SUM(B8:F8)</f>
        <v>4.8333397265393749</v>
      </c>
    </row>
    <row r="9" spans="1:7" x14ac:dyDescent="0.25">
      <c r="A9" s="2">
        <v>8</v>
      </c>
      <c r="B9" s="2">
        <f t="shared" ca="1" si="1"/>
        <v>0.99794901527697644</v>
      </c>
      <c r="C9" s="2">
        <f t="shared" ca="1" si="1"/>
        <v>0.97117900804628943</v>
      </c>
      <c r="D9" s="2">
        <f t="shared" ca="1" si="1"/>
        <v>0.98532976150779461</v>
      </c>
      <c r="E9" s="2">
        <f t="shared" ca="1" si="1"/>
        <v>0.90055748608029185</v>
      </c>
      <c r="F9" s="2">
        <f t="shared" ca="1" si="1"/>
        <v>0.9375161871753801</v>
      </c>
      <c r="G9" s="2">
        <f ca="1">SUM(B9:F9)</f>
        <v>4.7925314580867333</v>
      </c>
    </row>
    <row r="10" spans="1:7" x14ac:dyDescent="0.25">
      <c r="A10" s="2">
        <v>9</v>
      </c>
      <c r="B10" s="2">
        <f t="shared" ca="1" si="1"/>
        <v>0.96678117690081122</v>
      </c>
      <c r="C10" s="2">
        <f t="shared" ca="1" si="1"/>
        <v>0.94563972488670822</v>
      </c>
      <c r="D10" s="2">
        <f t="shared" ca="1" si="1"/>
        <v>0.99413583318554033</v>
      </c>
      <c r="E10" s="2">
        <f t="shared" ca="1" si="1"/>
        <v>0.93130632013345882</v>
      </c>
      <c r="F10" s="2">
        <f t="shared" ca="1" si="1"/>
        <v>0.95674094790487574</v>
      </c>
      <c r="G10" s="2">
        <f ca="1">SUM(B10:F10)</f>
        <v>4.7946040030113934</v>
      </c>
    </row>
    <row r="11" spans="1:7" x14ac:dyDescent="0.25">
      <c r="A11" s="2">
        <v>10</v>
      </c>
      <c r="B11" s="2">
        <f t="shared" ca="1" si="1"/>
        <v>0.92599563732220991</v>
      </c>
      <c r="C11" s="2">
        <f t="shared" ca="1" si="1"/>
        <v>0.94000902863181601</v>
      </c>
      <c r="D11" s="2">
        <f t="shared" ca="1" si="1"/>
        <v>0.97231761959951324</v>
      </c>
      <c r="E11" s="2">
        <f t="shared" ca="1" si="1"/>
        <v>0.97075666038796338</v>
      </c>
      <c r="F11" s="2">
        <f t="shared" ca="1" si="1"/>
        <v>0.93832816909668115</v>
      </c>
      <c r="G11" s="2">
        <f ca="1">SUM(B11:F11)</f>
        <v>4.7474071150381834</v>
      </c>
    </row>
    <row r="12" spans="1:7" x14ac:dyDescent="0.25">
      <c r="A12" s="2">
        <v>11</v>
      </c>
      <c r="B12" s="2">
        <f t="shared" ca="1" si="1"/>
        <v>0.97342217960866728</v>
      </c>
      <c r="C12" s="2">
        <f t="shared" ca="1" si="1"/>
        <v>0.90512055281528903</v>
      </c>
      <c r="D12" s="2">
        <f t="shared" ca="1" si="1"/>
        <v>0.98917499803945741</v>
      </c>
      <c r="E12" s="2">
        <f t="shared" ca="1" si="1"/>
        <v>0.95041683460163384</v>
      </c>
      <c r="F12" s="2">
        <f t="shared" ca="1" si="1"/>
        <v>0.96349469182295766</v>
      </c>
      <c r="G12" s="2">
        <f ca="1">SUM(B12:F12)</f>
        <v>4.7816292568880048</v>
      </c>
    </row>
    <row r="13" spans="1:7" x14ac:dyDescent="0.25">
      <c r="A13" s="2">
        <v>12</v>
      </c>
      <c r="B13" s="2">
        <f t="shared" ca="1" si="1"/>
        <v>0.96003328851880687</v>
      </c>
      <c r="C13" s="2">
        <f t="shared" ca="1" si="1"/>
        <v>0.92936172818679785</v>
      </c>
      <c r="D13" s="2">
        <f t="shared" ca="1" si="1"/>
        <v>0.9452526559378307</v>
      </c>
      <c r="E13" s="2">
        <f t="shared" ca="1" si="1"/>
        <v>0.91648272430536826</v>
      </c>
      <c r="F13" s="2">
        <f t="shared" ca="1" si="1"/>
        <v>0.93691788204352533</v>
      </c>
      <c r="G13" s="2">
        <f ca="1">SUM(B13:F13)</f>
        <v>4.688048278992329</v>
      </c>
    </row>
    <row r="14" spans="1:7" x14ac:dyDescent="0.25">
      <c r="A14" s="2">
        <v>13</v>
      </c>
      <c r="B14" s="2">
        <f t="shared" ca="1" si="1"/>
        <v>0.99606702942828862</v>
      </c>
      <c r="C14" s="2">
        <f t="shared" ca="1" si="1"/>
        <v>0.9057413958185293</v>
      </c>
      <c r="D14" s="2">
        <f t="shared" ca="1" si="1"/>
        <v>0.99962052900967979</v>
      </c>
      <c r="E14" s="2">
        <f t="shared" ca="1" si="1"/>
        <v>0.93916222647679093</v>
      </c>
      <c r="F14" s="2">
        <f t="shared" ca="1" si="1"/>
        <v>0.94131512930019501</v>
      </c>
      <c r="G14" s="2">
        <f ca="1">SUM(B14:F14)</f>
        <v>4.7819063100334835</v>
      </c>
    </row>
    <row r="15" spans="1:7" x14ac:dyDescent="0.25">
      <c r="A15" s="2">
        <v>14</v>
      </c>
      <c r="B15" s="2">
        <f t="shared" ca="1" si="1"/>
        <v>0.93849552686540927</v>
      </c>
      <c r="C15" s="2">
        <f t="shared" ca="1" si="1"/>
        <v>0.94078453516583149</v>
      </c>
      <c r="D15" s="2">
        <f t="shared" ca="1" si="1"/>
        <v>0.99549553594489459</v>
      </c>
      <c r="E15" s="2">
        <f t="shared" ca="1" si="1"/>
        <v>0.9437759522689031</v>
      </c>
      <c r="F15" s="2">
        <f t="shared" ca="1" si="1"/>
        <v>0.93046248591135461</v>
      </c>
      <c r="G15" s="2">
        <f ca="1">SUM(B15:F15)</f>
        <v>4.7490140361563924</v>
      </c>
    </row>
    <row r="16" spans="1:7" x14ac:dyDescent="0.25">
      <c r="A16" s="2">
        <v>15</v>
      </c>
      <c r="B16" s="2">
        <f t="shared" ca="1" si="1"/>
        <v>0.93568192496657732</v>
      </c>
      <c r="C16" s="2">
        <f t="shared" ca="1" si="1"/>
        <v>0.98819532012012079</v>
      </c>
      <c r="D16" s="2">
        <f t="shared" ca="1" si="1"/>
        <v>0.95756797820340644</v>
      </c>
      <c r="E16" s="2">
        <f t="shared" ca="1" si="1"/>
        <v>0.96782506060955609</v>
      </c>
      <c r="F16" s="2">
        <f t="shared" ca="1" si="1"/>
        <v>0.91873918453706926</v>
      </c>
      <c r="G16" s="2">
        <f ca="1">SUM(B16:F16)</f>
        <v>4.7680094684367296</v>
      </c>
    </row>
    <row r="17" spans="1:13" x14ac:dyDescent="0.25">
      <c r="A17" s="2">
        <v>16</v>
      </c>
      <c r="B17" s="2">
        <f ca="1">RAND()*(0.1-0)+0</f>
        <v>8.5939620280438167E-2</v>
      </c>
      <c r="C17" s="2">
        <f t="shared" ref="C17:F17" ca="1" si="2">RAND()*(0.1-0)+0</f>
        <v>6.9055031240223524E-2</v>
      </c>
      <c r="D17" s="2">
        <f t="shared" ca="1" si="2"/>
        <v>9.9331292266580495E-2</v>
      </c>
      <c r="E17" s="2">
        <f t="shared" ca="1" si="2"/>
        <v>7.9123508005541354E-2</v>
      </c>
      <c r="F17" s="2">
        <f t="shared" ca="1" si="2"/>
        <v>4.6025091270533759E-2</v>
      </c>
      <c r="G17" s="2">
        <f ca="1">SUM(B17:F17)</f>
        <v>0.37947454306331729</v>
      </c>
    </row>
    <row r="18" spans="1:13" x14ac:dyDescent="0.25">
      <c r="A18" s="2">
        <v>17</v>
      </c>
      <c r="B18" s="2">
        <f t="shared" ref="B18:F31" ca="1" si="3">RAND()*(0.1-0)+0</f>
        <v>8.2409336756723517E-2</v>
      </c>
      <c r="C18" s="2">
        <f t="shared" ca="1" si="3"/>
        <v>4.5396262003799315E-2</v>
      </c>
      <c r="D18" s="2">
        <f t="shared" ca="1" si="3"/>
        <v>5.6564450613230358E-2</v>
      </c>
      <c r="E18" s="2">
        <f t="shared" ca="1" si="3"/>
        <v>4.1588692814326728E-2</v>
      </c>
      <c r="F18" s="2">
        <f t="shared" ca="1" si="3"/>
        <v>6.6487281854657451E-2</v>
      </c>
      <c r="G18" s="2">
        <f ca="1">SUM(B18:F18)</f>
        <v>0.29244602404273734</v>
      </c>
    </row>
    <row r="19" spans="1:13" x14ac:dyDescent="0.25">
      <c r="A19" s="2">
        <v>18</v>
      </c>
      <c r="B19" s="2">
        <f t="shared" ca="1" si="3"/>
        <v>5.3478799807025971E-3</v>
      </c>
      <c r="C19" s="2">
        <f t="shared" ca="1" si="3"/>
        <v>9.9929885575366084E-2</v>
      </c>
      <c r="D19" s="2">
        <f t="shared" ca="1" si="3"/>
        <v>6.6991713948149442E-2</v>
      </c>
      <c r="E19" s="2">
        <f t="shared" ca="1" si="3"/>
        <v>8.2260439214471792E-2</v>
      </c>
      <c r="F19" s="2">
        <f t="shared" ca="1" si="3"/>
        <v>3.6981198955176489E-3</v>
      </c>
      <c r="G19" s="2">
        <f ca="1">SUM(B19:F19)</f>
        <v>0.25822803861420757</v>
      </c>
    </row>
    <row r="20" spans="1:13" x14ac:dyDescent="0.25">
      <c r="A20" s="2">
        <v>19</v>
      </c>
      <c r="B20" s="2">
        <f t="shared" ca="1" si="3"/>
        <v>6.9018113395162397E-3</v>
      </c>
      <c r="C20" s="2">
        <f t="shared" ca="1" si="3"/>
        <v>5.2901663458814842E-2</v>
      </c>
      <c r="D20" s="2">
        <f t="shared" ca="1" si="3"/>
        <v>8.0771145399147509E-2</v>
      </c>
      <c r="E20" s="2">
        <f t="shared" ca="1" si="3"/>
        <v>9.2851327022975896E-2</v>
      </c>
      <c r="F20" s="2">
        <f t="shared" ca="1" si="3"/>
        <v>1.8285298345393276E-3</v>
      </c>
      <c r="G20" s="2">
        <f ca="1">SUM(B20:F20)</f>
        <v>0.23525447705499383</v>
      </c>
    </row>
    <row r="21" spans="1:13" x14ac:dyDescent="0.25">
      <c r="A21" s="2">
        <v>20</v>
      </c>
      <c r="B21" s="2">
        <f t="shared" ca="1" si="3"/>
        <v>1.3267095244279093E-2</v>
      </c>
      <c r="C21" s="2">
        <f t="shared" ca="1" si="3"/>
        <v>6.7437799587910505E-2</v>
      </c>
      <c r="D21" s="2">
        <f t="shared" ca="1" si="3"/>
        <v>7.4701768241133296E-2</v>
      </c>
      <c r="E21" s="2">
        <f t="shared" ca="1" si="3"/>
        <v>5.6203586507357683E-2</v>
      </c>
      <c r="F21" s="2">
        <f t="shared" ca="1" si="3"/>
        <v>5.4080971493472477E-2</v>
      </c>
      <c r="G21" s="2">
        <f ca="1">SUM(B21:F21)</f>
        <v>0.26569122107415305</v>
      </c>
    </row>
    <row r="22" spans="1:13" x14ac:dyDescent="0.25">
      <c r="A22" s="2">
        <v>21</v>
      </c>
      <c r="B22" s="2">
        <f t="shared" ca="1" si="3"/>
        <v>6.3873736521940824E-2</v>
      </c>
      <c r="C22" s="2">
        <f t="shared" ca="1" si="3"/>
        <v>7.0772157287795706E-2</v>
      </c>
      <c r="D22" s="2">
        <f t="shared" ca="1" si="3"/>
        <v>7.828881792861643E-2</v>
      </c>
      <c r="E22" s="2">
        <f t="shared" ca="1" si="3"/>
        <v>2.1401807915654826E-3</v>
      </c>
      <c r="F22" s="2">
        <f t="shared" ca="1" si="3"/>
        <v>3.576478261527969E-2</v>
      </c>
      <c r="G22" s="2">
        <f ca="1">SUM(B22:F22)</f>
        <v>0.25083967514519812</v>
      </c>
    </row>
    <row r="23" spans="1:13" x14ac:dyDescent="0.25">
      <c r="A23" s="2">
        <v>22</v>
      </c>
      <c r="B23" s="2">
        <f t="shared" ca="1" si="3"/>
        <v>7.0130366933483609E-2</v>
      </c>
      <c r="C23" s="2">
        <f t="shared" ca="1" si="3"/>
        <v>6.3849148819261681E-2</v>
      </c>
      <c r="D23" s="2">
        <f t="shared" ca="1" si="3"/>
        <v>3.7983337805723607E-3</v>
      </c>
      <c r="E23" s="2">
        <f t="shared" ca="1" si="3"/>
        <v>4.8543161087212273E-2</v>
      </c>
      <c r="F23" s="2">
        <f t="shared" ca="1" si="3"/>
        <v>5.0788489329175783E-2</v>
      </c>
      <c r="G23" s="2">
        <f ca="1">SUM(B23:F23)</f>
        <v>0.23710949994970573</v>
      </c>
    </row>
    <row r="24" spans="1:13" x14ac:dyDescent="0.25">
      <c r="A24" s="2">
        <v>23</v>
      </c>
      <c r="B24" s="2">
        <f t="shared" ca="1" si="3"/>
        <v>2.5265514382890732E-2</v>
      </c>
      <c r="C24" s="2">
        <f t="shared" ca="1" si="3"/>
        <v>3.3177541050647644E-2</v>
      </c>
      <c r="D24" s="2">
        <f t="shared" ca="1" si="3"/>
        <v>9.8184606451850995E-2</v>
      </c>
      <c r="E24" s="2">
        <f t="shared" ca="1" si="3"/>
        <v>2.3109043363870596E-2</v>
      </c>
      <c r="F24" s="2">
        <f t="shared" ca="1" si="3"/>
        <v>6.6965635661223752E-2</v>
      </c>
      <c r="G24" s="2">
        <f ca="1">SUM(B24:F24)</f>
        <v>0.24670234091048371</v>
      </c>
    </row>
    <row r="25" spans="1:13" x14ac:dyDescent="0.25">
      <c r="A25" s="2">
        <v>24</v>
      </c>
      <c r="B25" s="2">
        <f t="shared" ca="1" si="3"/>
        <v>4.5956024647671435E-2</v>
      </c>
      <c r="C25" s="2">
        <f t="shared" ca="1" si="3"/>
        <v>8.8842247284308534E-2</v>
      </c>
      <c r="D25" s="2">
        <f t="shared" ca="1" si="3"/>
        <v>2.6295232005365769E-3</v>
      </c>
      <c r="E25" s="2">
        <f t="shared" ca="1" si="3"/>
        <v>9.1672511718830965E-2</v>
      </c>
      <c r="F25" s="2">
        <f t="shared" ca="1" si="3"/>
        <v>8.6576463466545836E-2</v>
      </c>
      <c r="G25" s="2">
        <f ca="1">SUM(B25:F25)</f>
        <v>0.31567677031789337</v>
      </c>
    </row>
    <row r="26" spans="1:13" x14ac:dyDescent="0.25">
      <c r="A26" s="2">
        <v>25</v>
      </c>
      <c r="B26" s="2">
        <f t="shared" ca="1" si="3"/>
        <v>9.6053049841717503E-2</v>
      </c>
      <c r="C26" s="2">
        <f t="shared" ca="1" si="3"/>
        <v>2.4305122869677509E-2</v>
      </c>
      <c r="D26" s="2">
        <f t="shared" ca="1" si="3"/>
        <v>4.5678444374867767E-2</v>
      </c>
      <c r="E26" s="2">
        <f t="shared" ca="1" si="3"/>
        <v>8.3362789248203738E-3</v>
      </c>
      <c r="F26" s="2">
        <f t="shared" ca="1" si="3"/>
        <v>4.1430047709807627E-2</v>
      </c>
      <c r="G26" s="2">
        <f ca="1">SUM(B26:F26)</f>
        <v>0.21580294372089076</v>
      </c>
    </row>
    <row r="27" spans="1:13" x14ac:dyDescent="0.25">
      <c r="A27" s="2">
        <v>26</v>
      </c>
      <c r="B27" s="2">
        <f t="shared" ca="1" si="3"/>
        <v>5.467423028147135E-2</v>
      </c>
      <c r="C27" s="2">
        <f t="shared" ca="1" si="3"/>
        <v>3.6757504159300951E-2</v>
      </c>
      <c r="D27" s="2">
        <f t="shared" ca="1" si="3"/>
        <v>1.3721471473533454E-2</v>
      </c>
      <c r="E27" s="2">
        <f t="shared" ca="1" si="3"/>
        <v>3.3704629051764148E-2</v>
      </c>
      <c r="F27" s="2">
        <f t="shared" ca="1" si="3"/>
        <v>7.8647798014906522E-3</v>
      </c>
      <c r="G27" s="2">
        <f ca="1">SUM(B27:F27)</f>
        <v>0.14672261476756054</v>
      </c>
    </row>
    <row r="28" spans="1:13" x14ac:dyDescent="0.25">
      <c r="A28" s="2">
        <v>27</v>
      </c>
      <c r="B28" s="2">
        <f t="shared" ca="1" si="3"/>
        <v>2.9536484965760192E-2</v>
      </c>
      <c r="C28" s="2">
        <f t="shared" ca="1" si="3"/>
        <v>4.4867520081938866E-2</v>
      </c>
      <c r="D28" s="2">
        <f t="shared" ca="1" si="3"/>
        <v>7.8347233966949547E-3</v>
      </c>
      <c r="E28" s="2">
        <f t="shared" ca="1" si="3"/>
        <v>1.3851150926623158E-2</v>
      </c>
      <c r="F28" s="2">
        <f t="shared" ca="1" si="3"/>
        <v>4.8381867303980391E-2</v>
      </c>
      <c r="G28" s="2">
        <f ca="1">SUM(B28:F28)</f>
        <v>0.14447174667499757</v>
      </c>
      <c r="M28"/>
    </row>
    <row r="29" spans="1:13" x14ac:dyDescent="0.25">
      <c r="A29" s="2">
        <v>28</v>
      </c>
      <c r="B29" s="2">
        <f t="shared" ca="1" si="3"/>
        <v>8.4421357485281907E-3</v>
      </c>
      <c r="C29" s="2">
        <f t="shared" ca="1" si="3"/>
        <v>2.647601160899813E-2</v>
      </c>
      <c r="D29" s="2">
        <f t="shared" ca="1" si="3"/>
        <v>2.040455650913673E-2</v>
      </c>
      <c r="E29" s="2">
        <f t="shared" ca="1" si="3"/>
        <v>9.9193162681933678E-3</v>
      </c>
      <c r="F29" s="2">
        <f t="shared" ca="1" si="3"/>
        <v>7.3513897517392679E-2</v>
      </c>
      <c r="G29" s="2">
        <f ca="1">SUM(B29:F29)</f>
        <v>0.13875591765224909</v>
      </c>
    </row>
    <row r="30" spans="1:13" x14ac:dyDescent="0.25">
      <c r="A30" s="2">
        <v>29</v>
      </c>
      <c r="B30" s="2">
        <f t="shared" ca="1" si="3"/>
        <v>7.594569760546932E-2</v>
      </c>
      <c r="C30" s="2">
        <f t="shared" ca="1" si="3"/>
        <v>7.6575795671491614E-2</v>
      </c>
      <c r="D30" s="2">
        <f t="shared" ca="1" si="3"/>
        <v>5.0162016308706314E-2</v>
      </c>
      <c r="E30" s="2">
        <f t="shared" ca="1" si="3"/>
        <v>4.6596626981877977E-2</v>
      </c>
      <c r="F30" s="2">
        <f t="shared" ca="1" si="3"/>
        <v>2.8503709946784084E-2</v>
      </c>
      <c r="G30" s="2">
        <f ca="1">SUM(B30:F30)</f>
        <v>0.2777838465143293</v>
      </c>
    </row>
    <row r="31" spans="1:13" x14ac:dyDescent="0.25">
      <c r="A31" s="2">
        <v>30</v>
      </c>
      <c r="B31" s="2">
        <f t="shared" ca="1" si="3"/>
        <v>6.9416047252445254E-2</v>
      </c>
      <c r="C31" s="2">
        <f t="shared" ca="1" si="3"/>
        <v>1.5998700981590976E-2</v>
      </c>
      <c r="D31" s="2">
        <f t="shared" ca="1" si="3"/>
        <v>5.4871479656727E-2</v>
      </c>
      <c r="E31" s="2">
        <f t="shared" ca="1" si="3"/>
        <v>6.4237357551344798E-2</v>
      </c>
      <c r="F31" s="2">
        <f t="shared" ca="1" si="3"/>
        <v>4.6199234050350285E-2</v>
      </c>
      <c r="G31" s="2">
        <f ca="1">SUM(B31:F31)</f>
        <v>0.25072281949245834</v>
      </c>
      <c r="I31" s="2" t="s">
        <v>8</v>
      </c>
      <c r="J31" s="2">
        <f ca="1">_xlfn.VAR.S(G2:G31)</f>
        <v>5.3167120843559852</v>
      </c>
    </row>
    <row r="32" spans="1:13" x14ac:dyDescent="0.25">
      <c r="I32" s="2" t="s">
        <v>9</v>
      </c>
      <c r="J32" s="2">
        <f ca="1">SUM(B33:F33)</f>
        <v>1.0666216661678678</v>
      </c>
    </row>
    <row r="33" spans="1:10" x14ac:dyDescent="0.25">
      <c r="A33" s="2" t="s">
        <v>7</v>
      </c>
      <c r="B33" s="2">
        <f ca="1">_xlfn.VAR.S(B2:B31)</f>
        <v>0.21519873978998122</v>
      </c>
      <c r="C33" s="2">
        <f ca="1">_xlfn.VAR.S(C2:C31)</f>
        <v>0.21089923459045964</v>
      </c>
      <c r="D33" s="2">
        <f t="shared" ref="D33:F33" ca="1" si="4">_xlfn.VAR.S(D2:D31)</f>
        <v>0.21662947226719795</v>
      </c>
      <c r="E33" s="2">
        <f t="shared" ca="1" si="4"/>
        <v>0.20983983728628108</v>
      </c>
      <c r="F33" s="2">
        <f t="shared" ca="1" si="4"/>
        <v>0.2140543822339479</v>
      </c>
    </row>
    <row r="35" spans="1:10" x14ac:dyDescent="0.25">
      <c r="I35" s="3" t="s">
        <v>10</v>
      </c>
      <c r="J35" s="2">
        <f ca="1">(5/4)*((J31-J32)/J31)</f>
        <v>0.99922902320911833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Arousal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Sztahó Dávid</dc:creator>
  <cp:lastModifiedBy>Sztahó Dávid</cp:lastModifiedBy>
  <dcterms:created xsi:type="dcterms:W3CDTF">2023-11-09T16:18:39Z</dcterms:created>
  <dcterms:modified xsi:type="dcterms:W3CDTF">2023-11-12T09:54:52Z</dcterms:modified>
</cp:coreProperties>
</file>